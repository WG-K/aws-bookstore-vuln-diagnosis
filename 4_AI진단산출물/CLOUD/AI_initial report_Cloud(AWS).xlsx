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. 표지" sheetId="1" state="visible" r:id="rId1"/>
    <sheet xmlns:r="http://schemas.openxmlformats.org/officeDocument/2006/relationships" name="1. 진단 대상" sheetId="2" state="visible" r:id="rId2"/>
    <sheet xmlns:r="http://schemas.openxmlformats.org/officeDocument/2006/relationships" name="2-1. 요약결과(그래프)" sheetId="3" state="visible" r:id="rId3"/>
    <sheet xmlns:r="http://schemas.openxmlformats.org/officeDocument/2006/relationships" name="2-2. 요약 진단결과" sheetId="4" state="visible" r:id="rId4"/>
    <sheet xmlns:r="http://schemas.openxmlformats.org/officeDocument/2006/relationships" name="3-1. 진단 결과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b val="1"/>
    </font>
    <font>
      <b val="1"/>
      <sz val="28"/>
    </font>
    <font>
      <b val="1"/>
      <sz val="16"/>
    </font>
    <font>
      <sz val="12"/>
    </font>
    <font>
      <b val="1"/>
      <color rgb="00FFFFFF"/>
    </font>
    <font>
      <b val="1"/>
      <sz val="12"/>
    </font>
    <font>
      <b val="1"/>
      <sz val="13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ED9C4"/>
      </patternFill>
    </fill>
    <fill>
      <patternFill patternType="solid">
        <fgColor rgb="00FCE4E4"/>
      </patternFill>
    </fill>
    <fill>
      <patternFill patternType="solid">
        <fgColor rgb="00E2EFDA"/>
      </patternFill>
    </fill>
    <fill>
      <patternFill patternType="solid">
        <fgColor rgb="00EDEDED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0" fillId="0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164" fontId="0" fillId="0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49" fontId="0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1" fontId="0" fillId="0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plotArea>
      <radarChart>
        <radarStyle val="standard"/>
        <ser>
          <idx val="0"/>
          <order val="0"/>
          <tx>
            <strRef>
              <f>'2-1. 요약결과(그래프)'!C4</f>
            </strRef>
          </tx>
          <spPr>
            <a:ln xmlns:a="http://schemas.openxmlformats.org/drawingml/2006/main" w="28575">
              <a:solidFill>
                <a:srgbClr val="4472C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'2-1. 요약결과(그래프)'!$B$5:$B$8</f>
            </numRef>
          </cat>
          <val>
            <numRef>
              <f>'2-1. 요약결과(그래프)'!$C$5:$C$8</f>
            </numRef>
          </val>
        </ser>
        <axId val="10"/>
        <axId val="100"/>
      </rad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/>
        <numFmt formatCode="0%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900">
                <a:solidFill>
                  <a:srgbClr val="BFBFBF"/>
                </a:solidFill>
              </a:defRPr>
            </a:pPr>
            <a:r>
              <a:t>None</a:t>
            </a:r>
            <a:endParaRPr sz="900">
              <a:solidFill>
                <a:srgbClr val="BFBFBF"/>
              </a:solidFill>
            </a:endParaRPr>
          </a:p>
        </txPr>
        <crossAx val="10"/>
        <majorUnit val="0.2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plotArea>
      <layout>
        <manualLayout>
          <xMode val="edge"/>
          <yMode val="edge"/>
          <wMode val="factor"/>
          <hMode val="factor"/>
          <x val="0.22"/>
          <y val="0.06"/>
          <w val="0.5600000000000001"/>
          <h val="0.72"/>
        </manualLayout>
      </layout>
      <pieChart>
        <varyColors val="1"/>
        <ser>
          <idx val="0"/>
          <order val="0"/>
          <tx>
            <strRef>
              <f>'2-1. 요약결과(그래프)'!C27</f>
            </strRef>
          </tx>
          <spPr>
            <a:ln xmlns:a="http://schemas.openxmlformats.org/drawingml/2006/main">
              <a:prstDash val="solid"/>
            </a:ln>
          </spPr>
          <cat>
            <numRef>
              <f>'2-1. 요약결과(그래프)'!$B$28:$B$30</f>
            </numRef>
          </cat>
          <val>
            <numRef>
              <f>'2-1. 요약결과(그래프)'!$C$28:$C$30</f>
            </numRef>
          </val>
        </ser>
        <firstSliceAng val="0"/>
      </pieChart>
    </plotArea>
    <legend>
      <legendPos val="b"/>
    </legend>
    <plotVisOnly val="1"/>
    <dispBlanksAs val="gap"/>
  </chart>
</chartSpace>
</file>

<file path=xl/charts/chart3.xml><?xml version="1.0" encoding="utf-8"?>
<chartSpace xmlns="http://schemas.openxmlformats.org/drawingml/2006/chart">
  <chart>
    <plotArea>
      <barChart>
        <barDir val="col"/>
        <grouping val="clustered"/>
        <varyColors val="1"/>
        <ser>
          <idx val="0"/>
          <order val="0"/>
          <tx>
            <strRef>
              <f>'2-1. 요약결과(그래프)'!C50</f>
            </strRef>
          </tx>
          <spPr>
            <a:ln xmlns:a="http://schemas.openxmlformats.org/drawingml/2006/main">
              <a:prstDash val="solid"/>
            </a:ln>
          </spPr>
          <cat>
            <numRef>
              <f>'2-1. 요약결과(그래프)'!$B$51:$B$54</f>
            </numRef>
          </cat>
          <val>
            <numRef>
              <f>'2-1. 요약결과(그래프)'!$C$51:$C$54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twoCellAnchor editAs="oneCell">
    <from>
      <col>5</col>
      <colOff>0</colOff>
      <row>3</row>
      <rowOff>0</rowOff>
    </from>
    <to>
      <col>11</col>
      <colOff>0</colOff>
      <row>22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 editAs="oneCell">
    <from>
      <col>5</col>
      <colOff>0</colOff>
      <row>26</row>
      <rowOff>0</rowOff>
    </from>
    <to>
      <col>11</col>
      <colOff>0</colOff>
      <row>45</row>
      <rowOff>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 editAs="oneCell">
    <from>
      <col>5</col>
      <colOff>0</colOff>
      <row>49</row>
      <rowOff>0</rowOff>
    </from>
    <to>
      <col>11</col>
      <colOff>0</colOff>
      <row>68</row>
      <rowOff>0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13" customWidth="1" min="11" max="11"/>
    <col width="30" customWidth="1" min="12" max="12"/>
  </cols>
  <sheetData>
    <row r="1"/>
    <row r="2"/>
    <row r="3" ht="22" customHeight="1">
      <c r="K3" s="1" t="inlineStr">
        <is>
          <t>문서번호</t>
        </is>
      </c>
      <c r="L3" s="2" t="inlineStr">
        <is>
          <t>CHECKBANG-VA-2026-001</t>
        </is>
      </c>
    </row>
    <row r="4" ht="22" customHeight="1">
      <c r="K4" s="1" t="inlineStr">
        <is>
          <t>작성자</t>
        </is>
      </c>
      <c r="L4" s="2" t="inlineStr">
        <is>
          <t>취약점진단팀</t>
        </is>
      </c>
    </row>
    <row r="5" ht="22" customHeight="1">
      <c r="K5" s="1" t="inlineStr">
        <is>
          <t>보안등급</t>
        </is>
      </c>
      <c r="L5" s="2" t="inlineStr">
        <is>
          <t>Confidential</t>
        </is>
      </c>
    </row>
    <row r="6" ht="22" customHeight="1">
      <c r="K6" s="1" t="inlineStr">
        <is>
          <t>Ver</t>
        </is>
      </c>
      <c r="L6" s="2" t="inlineStr">
        <is>
          <t>ver 1.0</t>
        </is>
      </c>
    </row>
    <row r="7"/>
    <row r="8"/>
    <row r="9"/>
    <row r="10"/>
    <row r="11" ht="40" customHeight="1">
      <c r="B11" s="3" t="inlineStr">
        <is>
          <t>Check방 취약점 진단</t>
        </is>
      </c>
    </row>
    <row r="12"/>
    <row r="13" ht="30" customHeight="1">
      <c r="B13" s="4" t="inlineStr">
        <is>
          <t>취약점 진단 상세결과</t>
        </is>
      </c>
    </row>
    <row r="14"/>
    <row r="15"/>
    <row r="16"/>
    <row r="17"/>
    <row r="18">
      <c r="B18" s="5" t="inlineStr">
        <is>
          <t>2026-06-29</t>
        </is>
      </c>
    </row>
  </sheetData>
  <mergeCells count="3">
    <mergeCell ref="B13:L13"/>
    <mergeCell ref="B18:L18"/>
    <mergeCell ref="B11:L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3" customWidth="1" min="2" max="2"/>
    <col width="14" customWidth="1" min="3" max="3"/>
    <col width="14" customWidth="1" min="4" max="4"/>
    <col width="20" customWidth="1" min="5" max="5"/>
    <col width="6" customWidth="1" min="6" max="6"/>
    <col width="16" customWidth="1" min="7" max="7"/>
  </cols>
  <sheetData>
    <row r="1" ht="26" customHeight="1">
      <c r="B1" s="6" t="inlineStr">
        <is>
          <t xml:space="preserve">  ※ 진단 대상 리스트</t>
        </is>
      </c>
    </row>
    <row r="2">
      <c r="B2" s="7" t="inlineStr">
        <is>
          <t>순번</t>
        </is>
      </c>
      <c r="C2" s="7" t="inlineStr">
        <is>
          <t>진단 대상</t>
        </is>
      </c>
      <c r="D2" s="20" t="n"/>
      <c r="E2" s="20" t="n"/>
      <c r="F2" s="21" t="n"/>
      <c r="G2" s="7" t="inlineStr">
        <is>
          <t>비고</t>
        </is>
      </c>
    </row>
    <row r="3">
      <c r="B3" s="22" t="n"/>
      <c r="C3" s="7" t="inlineStr">
        <is>
          <t>Hostname</t>
        </is>
      </c>
      <c r="D3" s="7" t="inlineStr">
        <is>
          <t>IP Address</t>
        </is>
      </c>
      <c r="E3" s="7" t="inlineStr">
        <is>
          <t>버전정보</t>
        </is>
      </c>
      <c r="F3" s="7" t="inlineStr">
        <is>
          <t>용도</t>
        </is>
      </c>
      <c r="G3" s="22" t="n"/>
    </row>
    <row r="4" ht="24" customHeight="1">
      <c r="B4" s="9" t="n">
        <v>1</v>
      </c>
      <c r="C4" s="9" t="inlineStr"/>
      <c r="D4" s="9" t="inlineStr">
        <is>
          <t>XXXXXXXXXXXX</t>
        </is>
      </c>
      <c r="E4" s="9" t="inlineStr">
        <is>
          <t>AWS</t>
        </is>
      </c>
      <c r="F4" s="9" t="inlineStr"/>
      <c r="G4" s="9" t="inlineStr">
        <is>
          <t>-</t>
        </is>
      </c>
    </row>
  </sheetData>
  <mergeCells count="3">
    <mergeCell ref="C2:F2"/>
    <mergeCell ref="G2:G3"/>
    <mergeCell ref="B2:B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11" customWidth="1" min="3" max="3"/>
  </cols>
  <sheetData>
    <row r="1"/>
    <row r="2" ht="22" customHeight="1">
      <c r="F2" s="10" t="inlineStr">
        <is>
          <t>항목별 양호 비율</t>
        </is>
      </c>
      <c r="G2" s="20" t="n"/>
      <c r="H2" s="20" t="n"/>
      <c r="I2" s="20" t="n"/>
      <c r="J2" s="20" t="n"/>
      <c r="K2" s="21" t="n"/>
    </row>
    <row r="3"/>
    <row r="4">
      <c r="B4" s="7" t="inlineStr">
        <is>
          <t>진단 도메인</t>
        </is>
      </c>
      <c r="C4" s="7" t="inlineStr">
        <is>
          <t>평균 점수</t>
        </is>
      </c>
    </row>
    <row r="5">
      <c r="B5" s="9" t="inlineStr">
        <is>
          <t>계정 관리</t>
        </is>
      </c>
      <c r="C5" s="12">
        <f>'2-2. 요약 진단결과'!H6</f>
        <v/>
      </c>
    </row>
    <row r="6">
      <c r="B6" s="9" t="inlineStr">
        <is>
          <t>권한 관리</t>
        </is>
      </c>
      <c r="C6" s="12">
        <f>'2-2. 요약 진단결과'!H19</f>
        <v/>
      </c>
    </row>
    <row r="7">
      <c r="B7" s="9" t="inlineStr">
        <is>
          <t>가상 리소스 관리</t>
        </is>
      </c>
      <c r="C7" s="12">
        <f>'2-2. 요약 진단결과'!H22</f>
        <v/>
      </c>
    </row>
    <row r="8">
      <c r="B8" s="9" t="inlineStr">
        <is>
          <t>운영 관리</t>
        </is>
      </c>
      <c r="C8" s="12">
        <f>'2-2. 요약 진단결과'!H32</f>
        <v/>
      </c>
    </row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 ht="22" customHeight="1">
      <c r="F25" s="10" t="inlineStr">
        <is>
          <t>양호 / 취약 / N/A 비율</t>
        </is>
      </c>
      <c r="G25" s="20" t="n"/>
      <c r="H25" s="20" t="n"/>
      <c r="I25" s="20" t="n"/>
      <c r="J25" s="20" t="n"/>
      <c r="K25" s="21" t="n"/>
    </row>
    <row r="26"/>
    <row r="27">
      <c r="B27" s="7" t="inlineStr">
        <is>
          <t>상태</t>
        </is>
      </c>
      <c r="C27" s="7" t="inlineStr">
        <is>
          <t>개수</t>
        </is>
      </c>
    </row>
    <row r="28">
      <c r="B28" s="9" t="inlineStr">
        <is>
          <t>양호</t>
        </is>
      </c>
      <c r="C28" s="9">
        <f>SUM('2-2. 요약 진단결과'!J6:J46)</f>
        <v/>
      </c>
    </row>
    <row r="29">
      <c r="B29" s="9" t="inlineStr">
        <is>
          <t>취약</t>
        </is>
      </c>
      <c r="C29" s="9">
        <f>SUM('2-2. 요약 진단결과'!K6:K46)</f>
        <v/>
      </c>
    </row>
    <row r="30">
      <c r="B30" s="9" t="inlineStr">
        <is>
          <t>N/A</t>
        </is>
      </c>
      <c r="C30" s="9">
        <f>SUM('2-2. 요약 진단결과'!L6:L46)</f>
        <v/>
      </c>
    </row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 ht="22" customHeight="1">
      <c r="F48" s="10" t="inlineStr">
        <is>
          <t>영역별 취약 수</t>
        </is>
      </c>
      <c r="G48" s="20" t="n"/>
      <c r="H48" s="20" t="n"/>
      <c r="I48" s="20" t="n"/>
      <c r="J48" s="20" t="n"/>
      <c r="K48" s="21" t="n"/>
    </row>
    <row r="49"/>
    <row r="50">
      <c r="B50" s="7" t="inlineStr">
        <is>
          <t>영역</t>
        </is>
      </c>
      <c r="C50" s="7" t="inlineStr">
        <is>
          <t>취약 수</t>
        </is>
      </c>
    </row>
    <row r="51">
      <c r="B51" s="9" t="inlineStr">
        <is>
          <t>계정 관리</t>
        </is>
      </c>
      <c r="C51" s="9">
        <f>SUM('2-2. 요약 진단결과'!K6:K18)</f>
        <v/>
      </c>
    </row>
    <row r="52">
      <c r="B52" s="9" t="inlineStr">
        <is>
          <t>권한 관리</t>
        </is>
      </c>
      <c r="C52" s="9">
        <f>SUM('2-2. 요약 진단결과'!K19:K21)</f>
        <v/>
      </c>
    </row>
    <row r="53">
      <c r="B53" s="9" t="inlineStr">
        <is>
          <t>가상 리소스 관리</t>
        </is>
      </c>
      <c r="C53" s="9">
        <f>SUM('2-2. 요약 진단결과'!K22:K31)</f>
        <v/>
      </c>
    </row>
    <row r="54">
      <c r="B54" s="9" t="inlineStr">
        <is>
          <t>운영 관리</t>
        </is>
      </c>
      <c r="C54" s="9">
        <f>SUM('2-2. 요약 진단결과'!K32:K46)</f>
        <v/>
      </c>
    </row>
  </sheetData>
  <mergeCells count="3">
    <mergeCell ref="F2:K2"/>
    <mergeCell ref="F25:K25"/>
    <mergeCell ref="F48:K48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15" customWidth="1" min="2" max="2"/>
    <col width="6" customWidth="1" min="3" max="3"/>
    <col width="55" customWidth="1" min="4" max="4"/>
    <col width="10" customWidth="1" min="5" max="5"/>
    <col width="14" customWidth="1" min="6" max="6"/>
    <col width="2.5" customWidth="1" min="7" max="7"/>
    <col width="12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/>
    <row r="2" ht="28" customHeight="1">
      <c r="B2" s="13" t="inlineStr">
        <is>
          <t>Check방 취약점 진단 요약 진단결과 (41항목)</t>
        </is>
      </c>
    </row>
    <row r="3">
      <c r="B3" s="7" t="inlineStr">
        <is>
          <t>진단항목</t>
        </is>
      </c>
      <c r="C3" s="7" t="inlineStr">
        <is>
          <t>No.</t>
        </is>
      </c>
      <c r="D3" s="7" t="inlineStr">
        <is>
          <t>세부 진단항목</t>
        </is>
      </c>
      <c r="E3" s="7" t="inlineStr">
        <is>
          <t>중요도</t>
        </is>
      </c>
      <c r="F3" s="7" t="inlineStr">
        <is>
          <t>진단결과</t>
        </is>
      </c>
    </row>
    <row r="4">
      <c r="B4" s="23" t="n"/>
      <c r="C4" s="23" t="n"/>
      <c r="D4" s="23" t="n"/>
      <c r="E4" s="23" t="n"/>
      <c r="F4" s="7" t="inlineStr">
        <is>
          <t>Cloud(AWS)</t>
        </is>
      </c>
    </row>
    <row r="5">
      <c r="B5" s="22" t="n"/>
      <c r="C5" s="22" t="n"/>
      <c r="D5" s="22" t="n"/>
      <c r="E5" s="22" t="n"/>
      <c r="F5" s="7" t="inlineStr">
        <is>
          <t>XXXXXXXXXXXX</t>
        </is>
      </c>
      <c r="H5" s="7" t="inlineStr">
        <is>
          <t>영역별점수</t>
        </is>
      </c>
      <c r="I5" s="7" t="inlineStr">
        <is>
          <t>점수</t>
        </is>
      </c>
      <c r="J5" s="7" t="inlineStr">
        <is>
          <t>양호</t>
        </is>
      </c>
      <c r="K5" s="7" t="inlineStr">
        <is>
          <t>취약</t>
        </is>
      </c>
      <c r="L5" s="7" t="inlineStr">
        <is>
          <t>N/A</t>
        </is>
      </c>
    </row>
    <row r="6">
      <c r="B6" s="9" t="inlineStr">
        <is>
          <t>계정 관리</t>
        </is>
      </c>
      <c r="C6" s="14" t="inlineStr">
        <is>
          <t>1.1</t>
        </is>
      </c>
      <c r="D6" s="2" t="inlineStr">
        <is>
          <t>사용자 계정 관리</t>
        </is>
      </c>
      <c r="E6" s="9" t="inlineStr">
        <is>
          <t>상</t>
        </is>
      </c>
      <c r="F6" s="15" t="inlineStr">
        <is>
          <t>취약</t>
        </is>
      </c>
      <c r="H6" s="12">
        <f>IF(COUNTIF(I6:I18,"N/A")=COUNTA(I6:I18),"N/A",AVERAGE(I6:I18))</f>
        <v/>
      </c>
      <c r="I6" s="12">
        <f>IF(COUNTIF($F6:$F6,"N/A")=COUNTA($F6:$F6),"N/A",$J6/(COUNTA($F6:$F6)-$L6))</f>
        <v/>
      </c>
      <c r="J6" s="9">
        <f>COUNTIF($F6:$F6,"양호")</f>
        <v/>
      </c>
      <c r="K6" s="9">
        <f>COUNTIF($F6:$F6,"취약")</f>
        <v/>
      </c>
      <c r="L6" s="9">
        <f>COUNTIF($F6:$F6,"N/A")</f>
        <v/>
      </c>
    </row>
    <row r="7">
      <c r="B7" s="23" t="n"/>
      <c r="C7" s="14" t="inlineStr">
        <is>
          <t>1.2</t>
        </is>
      </c>
      <c r="D7" s="2" t="inlineStr">
        <is>
          <t>IAM 사용자 계정 단일화 관리</t>
        </is>
      </c>
      <c r="E7" s="9" t="inlineStr">
        <is>
          <t>상</t>
        </is>
      </c>
      <c r="F7" s="17" t="inlineStr">
        <is>
          <t>양호</t>
        </is>
      </c>
      <c r="H7" s="23" t="n"/>
      <c r="I7" s="12">
        <f>IF(COUNTIF($F7:$F7,"N/A")=COUNTA($F7:$F7),"N/A",$J7/(COUNTA($F7:$F7)-$L7))</f>
        <v/>
      </c>
      <c r="J7" s="9">
        <f>COUNTIF($F7:$F7,"양호")</f>
        <v/>
      </c>
      <c r="K7" s="9">
        <f>COUNTIF($F7:$F7,"취약")</f>
        <v/>
      </c>
      <c r="L7" s="9">
        <f>COUNTIF($F7:$F7,"N/A")</f>
        <v/>
      </c>
    </row>
    <row r="8">
      <c r="B8" s="23" t="n"/>
      <c r="C8" s="14" t="inlineStr">
        <is>
          <t>1.3</t>
        </is>
      </c>
      <c r="D8" s="2" t="inlineStr">
        <is>
          <t>IAM 사용자 계정 식별 관리</t>
        </is>
      </c>
      <c r="E8" s="9" t="inlineStr">
        <is>
          <t>중</t>
        </is>
      </c>
      <c r="F8" s="15" t="inlineStr">
        <is>
          <t>취약</t>
        </is>
      </c>
      <c r="H8" s="23" t="n"/>
      <c r="I8" s="12">
        <f>IF(COUNTIF($F8:$F8,"N/A")=COUNTA($F8:$F8),"N/A",$J8/(COUNTA($F8:$F8)-$L8))</f>
        <v/>
      </c>
      <c r="J8" s="9">
        <f>COUNTIF($F8:$F8,"양호")</f>
        <v/>
      </c>
      <c r="K8" s="9">
        <f>COUNTIF($F8:$F8,"취약")</f>
        <v/>
      </c>
      <c r="L8" s="9">
        <f>COUNTIF($F8:$F8,"N/A")</f>
        <v/>
      </c>
    </row>
    <row r="9">
      <c r="B9" s="23" t="n"/>
      <c r="C9" s="14" t="inlineStr">
        <is>
          <t>1.4</t>
        </is>
      </c>
      <c r="D9" s="2" t="inlineStr">
        <is>
          <t>IAM 그룹 사용자 계정 관리</t>
        </is>
      </c>
      <c r="E9" s="9" t="inlineStr">
        <is>
          <t>중</t>
        </is>
      </c>
      <c r="F9" s="15" t="inlineStr">
        <is>
          <t>취약</t>
        </is>
      </c>
      <c r="H9" s="23" t="n"/>
      <c r="I9" s="12">
        <f>IF(COUNTIF($F9:$F9,"N/A")=COUNTA($F9:$F9),"N/A",$J9/(COUNTA($F9:$F9)-$L9))</f>
        <v/>
      </c>
      <c r="J9" s="9">
        <f>COUNTIF($F9:$F9,"양호")</f>
        <v/>
      </c>
      <c r="K9" s="9">
        <f>COUNTIF($F9:$F9,"취약")</f>
        <v/>
      </c>
      <c r="L9" s="9">
        <f>COUNTIF($F9:$F9,"N/A")</f>
        <v/>
      </c>
    </row>
    <row r="10">
      <c r="B10" s="23" t="n"/>
      <c r="C10" s="14" t="inlineStr">
        <is>
          <t>1.5</t>
        </is>
      </c>
      <c r="D10" s="2" t="inlineStr">
        <is>
          <t>Key Pair 접근 관리</t>
        </is>
      </c>
      <c r="E10" s="9" t="inlineStr">
        <is>
          <t>상</t>
        </is>
      </c>
      <c r="F10" s="17" t="inlineStr">
        <is>
          <t>양호</t>
        </is>
      </c>
      <c r="H10" s="23" t="n"/>
      <c r="I10" s="12">
        <f>IF(COUNTIF($F10:$F10,"N/A")=COUNTA($F10:$F10),"N/A",$J10/(COUNTA($F10:$F10)-$L10))</f>
        <v/>
      </c>
      <c r="J10" s="9">
        <f>COUNTIF($F10:$F10,"양호")</f>
        <v/>
      </c>
      <c r="K10" s="9">
        <f>COUNTIF($F10:$F10,"취약")</f>
        <v/>
      </c>
      <c r="L10" s="9">
        <f>COUNTIF($F10:$F10,"N/A")</f>
        <v/>
      </c>
    </row>
    <row r="11">
      <c r="B11" s="23" t="n"/>
      <c r="C11" s="14" t="inlineStr">
        <is>
          <t>1.6</t>
        </is>
      </c>
      <c r="D11" s="2" t="inlineStr">
        <is>
          <t>Key Pair 보관 관리</t>
        </is>
      </c>
      <c r="E11" s="9" t="inlineStr">
        <is>
          <t>상</t>
        </is>
      </c>
      <c r="F11" s="18" t="inlineStr">
        <is>
          <t>N/A</t>
        </is>
      </c>
      <c r="H11" s="23" t="n"/>
      <c r="I11" s="12">
        <f>IF(COUNTIF($F11:$F11,"N/A")=COUNTA($F11:$F11),"N/A",$J11/(COUNTA($F11:$F11)-$L11))</f>
        <v/>
      </c>
      <c r="J11" s="9">
        <f>COUNTIF($F11:$F11,"양호")</f>
        <v/>
      </c>
      <c r="K11" s="9">
        <f>COUNTIF($F11:$F11,"취약")</f>
        <v/>
      </c>
      <c r="L11" s="9">
        <f>COUNTIF($F11:$F11,"N/A")</f>
        <v/>
      </c>
    </row>
    <row r="12">
      <c r="B12" s="23" t="n"/>
      <c r="C12" s="14" t="inlineStr">
        <is>
          <t>1.7</t>
        </is>
      </c>
      <c r="D12" s="2" t="inlineStr">
        <is>
          <t>Admin Console 관리자 정책 관리</t>
        </is>
      </c>
      <c r="E12" s="9" t="inlineStr">
        <is>
          <t>중</t>
        </is>
      </c>
      <c r="F12" s="17" t="inlineStr">
        <is>
          <t>양호</t>
        </is>
      </c>
      <c r="H12" s="23" t="n"/>
      <c r="I12" s="12">
        <f>IF(COUNTIF($F12:$F12,"N/A")=COUNTA($F12:$F12),"N/A",$J12/(COUNTA($F12:$F12)-$L12))</f>
        <v/>
      </c>
      <c r="J12" s="9">
        <f>COUNTIF($F12:$F12,"양호")</f>
        <v/>
      </c>
      <c r="K12" s="9">
        <f>COUNTIF($F12:$F12,"취약")</f>
        <v/>
      </c>
      <c r="L12" s="9">
        <f>COUNTIF($F12:$F12,"N/A")</f>
        <v/>
      </c>
    </row>
    <row r="13">
      <c r="B13" s="23" t="n"/>
      <c r="C13" s="14" t="inlineStr">
        <is>
          <t>1.8</t>
        </is>
      </c>
      <c r="D13" s="2" t="inlineStr">
        <is>
          <t>Admin Console 계정 Access Key 활성화 및 사용주기 관리</t>
        </is>
      </c>
      <c r="E13" s="9" t="inlineStr">
        <is>
          <t>상</t>
        </is>
      </c>
      <c r="F13" s="17" t="inlineStr">
        <is>
          <t>양호</t>
        </is>
      </c>
      <c r="H13" s="23" t="n"/>
      <c r="I13" s="12">
        <f>IF(COUNTIF($F13:$F13,"N/A")=COUNTA($F13:$F13),"N/A",$J13/(COUNTA($F13:$F13)-$L13))</f>
        <v/>
      </c>
      <c r="J13" s="9">
        <f>COUNTIF($F13:$F13,"양호")</f>
        <v/>
      </c>
      <c r="K13" s="9">
        <f>COUNTIF($F13:$F13,"취약")</f>
        <v/>
      </c>
      <c r="L13" s="9">
        <f>COUNTIF($F13:$F13,"N/A")</f>
        <v/>
      </c>
    </row>
    <row r="14">
      <c r="B14" s="23" t="n"/>
      <c r="C14" s="14" t="inlineStr">
        <is>
          <t>1.9</t>
        </is>
      </c>
      <c r="D14" s="2" t="inlineStr">
        <is>
          <t>MFA (Multi-Factor Authentication) 설정</t>
        </is>
      </c>
      <c r="E14" s="9" t="inlineStr">
        <is>
          <t>중</t>
        </is>
      </c>
      <c r="F14" s="15" t="inlineStr">
        <is>
          <t>취약</t>
        </is>
      </c>
      <c r="H14" s="23" t="n"/>
      <c r="I14" s="12">
        <f>IF(COUNTIF($F14:$F14,"N/A")=COUNTA($F14:$F14),"N/A",$J14/(COUNTA($F14:$F14)-$L14))</f>
        <v/>
      </c>
      <c r="J14" s="9">
        <f>COUNTIF($F14:$F14,"양호")</f>
        <v/>
      </c>
      <c r="K14" s="9">
        <f>COUNTIF($F14:$F14,"취약")</f>
        <v/>
      </c>
      <c r="L14" s="9">
        <f>COUNTIF($F14:$F14,"N/A")</f>
        <v/>
      </c>
    </row>
    <row r="15">
      <c r="B15" s="23" t="n"/>
      <c r="C15" s="14" t="inlineStr">
        <is>
          <t>1.10</t>
        </is>
      </c>
      <c r="D15" s="2" t="inlineStr">
        <is>
          <t>AWS 계정 패스워드 정책 관리</t>
        </is>
      </c>
      <c r="E15" s="9" t="inlineStr">
        <is>
          <t>중</t>
        </is>
      </c>
      <c r="F15" s="17" t="inlineStr">
        <is>
          <t>양호</t>
        </is>
      </c>
      <c r="H15" s="23" t="n"/>
      <c r="I15" s="12">
        <f>IF(COUNTIF($F15:$F15,"N/A")=COUNTA($F15:$F15),"N/A",$J15/(COUNTA($F15:$F15)-$L15))</f>
        <v/>
      </c>
      <c r="J15" s="9">
        <f>COUNTIF($F15:$F15,"양호")</f>
        <v/>
      </c>
      <c r="K15" s="9">
        <f>COUNTIF($F15:$F15,"취약")</f>
        <v/>
      </c>
      <c r="L15" s="9">
        <f>COUNTIF($F15:$F15,"N/A")</f>
        <v/>
      </c>
    </row>
    <row r="16">
      <c r="B16" s="23" t="n"/>
      <c r="C16" s="14" t="inlineStr">
        <is>
          <t>1.11</t>
        </is>
      </c>
      <c r="D16" s="2" t="inlineStr">
        <is>
          <t>EKS 사용자 관리</t>
        </is>
      </c>
      <c r="E16" s="9" t="inlineStr">
        <is>
          <t>상</t>
        </is>
      </c>
      <c r="F16" s="18" t="inlineStr">
        <is>
          <t>N/A</t>
        </is>
      </c>
      <c r="H16" s="23" t="n"/>
      <c r="I16" s="12">
        <f>IF(COUNTIF($F16:$F16,"N/A")=COUNTA($F16:$F16),"N/A",$J16/(COUNTA($F16:$F16)-$L16))</f>
        <v/>
      </c>
      <c r="J16" s="9">
        <f>COUNTIF($F16:$F16,"양호")</f>
        <v/>
      </c>
      <c r="K16" s="9">
        <f>COUNTIF($F16:$F16,"취약")</f>
        <v/>
      </c>
      <c r="L16" s="9">
        <f>COUNTIF($F16:$F16,"N/A")</f>
        <v/>
      </c>
    </row>
    <row r="17">
      <c r="B17" s="23" t="n"/>
      <c r="C17" s="14" t="inlineStr">
        <is>
          <t>1.12</t>
        </is>
      </c>
      <c r="D17" s="2" t="inlineStr">
        <is>
          <t>EKS 서비스 어카운트 관리</t>
        </is>
      </c>
      <c r="E17" s="9" t="inlineStr">
        <is>
          <t>중</t>
        </is>
      </c>
      <c r="F17" s="18" t="inlineStr">
        <is>
          <t>N/A</t>
        </is>
      </c>
      <c r="H17" s="23" t="n"/>
      <c r="I17" s="12">
        <f>IF(COUNTIF($F17:$F17,"N/A")=COUNTA($F17:$F17),"N/A",$J17/(COUNTA($F17:$F17)-$L17))</f>
        <v/>
      </c>
      <c r="J17" s="9">
        <f>COUNTIF($F17:$F17,"양호")</f>
        <v/>
      </c>
      <c r="K17" s="9">
        <f>COUNTIF($F17:$F17,"취약")</f>
        <v/>
      </c>
      <c r="L17" s="9">
        <f>COUNTIF($F17:$F17,"N/A")</f>
        <v/>
      </c>
    </row>
    <row r="18">
      <c r="B18" s="22" t="n"/>
      <c r="C18" s="14" t="inlineStr">
        <is>
          <t>1.13</t>
        </is>
      </c>
      <c r="D18" s="2" t="inlineStr">
        <is>
          <t>EKS 불필요한 익명 접근 관리</t>
        </is>
      </c>
      <c r="E18" s="9" t="inlineStr">
        <is>
          <t>상</t>
        </is>
      </c>
      <c r="F18" s="18" t="inlineStr">
        <is>
          <t>N/A</t>
        </is>
      </c>
      <c r="H18" s="22" t="n"/>
      <c r="I18" s="12">
        <f>IF(COUNTIF($F18:$F18,"N/A")=COUNTA($F18:$F18),"N/A",$J18/(COUNTA($F18:$F18)-$L18))</f>
        <v/>
      </c>
      <c r="J18" s="9">
        <f>COUNTIF($F18:$F18,"양호")</f>
        <v/>
      </c>
      <c r="K18" s="9">
        <f>COUNTIF($F18:$F18,"취약")</f>
        <v/>
      </c>
      <c r="L18" s="9">
        <f>COUNTIF($F18:$F18,"N/A")</f>
        <v/>
      </c>
    </row>
    <row r="19">
      <c r="B19" s="9" t="inlineStr">
        <is>
          <t>권한 관리</t>
        </is>
      </c>
      <c r="C19" s="14" t="inlineStr">
        <is>
          <t>2.1</t>
        </is>
      </c>
      <c r="D19" s="2" t="inlineStr">
        <is>
          <t>인스턴스 서비스 정책 관리</t>
        </is>
      </c>
      <c r="E19" s="9" t="inlineStr">
        <is>
          <t>상</t>
        </is>
      </c>
      <c r="F19" s="18" t="inlineStr">
        <is>
          <t>N/A</t>
        </is>
      </c>
      <c r="H19" s="12">
        <f>IF(COUNTIF(I19:I21,"N/A")=COUNTA(I19:I21),"N/A",AVERAGE(I19:I21))</f>
        <v/>
      </c>
      <c r="I19" s="12">
        <f>IF(COUNTIF($F19:$F19,"N/A")=COUNTA($F19:$F19),"N/A",$J19/(COUNTA($F19:$F19)-$L19))</f>
        <v/>
      </c>
      <c r="J19" s="9">
        <f>COUNTIF($F19:$F19,"양호")</f>
        <v/>
      </c>
      <c r="K19" s="9">
        <f>COUNTIF($F19:$F19,"취약")</f>
        <v/>
      </c>
      <c r="L19" s="9">
        <f>COUNTIF($F19:$F19,"N/A")</f>
        <v/>
      </c>
    </row>
    <row r="20">
      <c r="B20" s="23" t="n"/>
      <c r="C20" s="14" t="inlineStr">
        <is>
          <t>2.2</t>
        </is>
      </c>
      <c r="D20" s="2" t="inlineStr">
        <is>
          <t>네트워크 서비스 정책 관리</t>
        </is>
      </c>
      <c r="E20" s="9" t="inlineStr">
        <is>
          <t>상</t>
        </is>
      </c>
      <c r="F20" s="18" t="inlineStr">
        <is>
          <t>N/A</t>
        </is>
      </c>
      <c r="H20" s="23" t="n"/>
      <c r="I20" s="12">
        <f>IF(COUNTIF($F20:$F20,"N/A")=COUNTA($F20:$F20),"N/A",$J20/(COUNTA($F20:$F20)-$L20))</f>
        <v/>
      </c>
      <c r="J20" s="9">
        <f>COUNTIF($F20:$F20,"양호")</f>
        <v/>
      </c>
      <c r="K20" s="9">
        <f>COUNTIF($F20:$F20,"취약")</f>
        <v/>
      </c>
      <c r="L20" s="9">
        <f>COUNTIF($F20:$F20,"N/A")</f>
        <v/>
      </c>
    </row>
    <row r="21">
      <c r="B21" s="22" t="n"/>
      <c r="C21" s="14" t="inlineStr">
        <is>
          <t>2.3</t>
        </is>
      </c>
      <c r="D21" s="2" t="inlineStr">
        <is>
          <t>기타 서비스 정책 관리</t>
        </is>
      </c>
      <c r="E21" s="9" t="inlineStr">
        <is>
          <t>상</t>
        </is>
      </c>
      <c r="F21" s="18" t="inlineStr">
        <is>
          <t>N/A</t>
        </is>
      </c>
      <c r="H21" s="22" t="n"/>
      <c r="I21" s="12">
        <f>IF(COUNTIF($F21:$F21,"N/A")=COUNTA($F21:$F21),"N/A",$J21/(COUNTA($F21:$F21)-$L21))</f>
        <v/>
      </c>
      <c r="J21" s="9">
        <f>COUNTIF($F21:$F21,"양호")</f>
        <v/>
      </c>
      <c r="K21" s="9">
        <f>COUNTIF($F21:$F21,"취약")</f>
        <v/>
      </c>
      <c r="L21" s="9">
        <f>COUNTIF($F21:$F21,"N/A")</f>
        <v/>
      </c>
    </row>
    <row r="22">
      <c r="B22" s="9" t="inlineStr">
        <is>
          <t>가상 리소스 관리</t>
        </is>
      </c>
      <c r="C22" s="14" t="inlineStr">
        <is>
          <t>3.1</t>
        </is>
      </c>
      <c r="D22" s="2" t="inlineStr">
        <is>
          <t>보안 그룹 인/아웃바운드 ANY 설정 관리</t>
        </is>
      </c>
      <c r="E22" s="9" t="inlineStr">
        <is>
          <t>상</t>
        </is>
      </c>
      <c r="F22" s="15" t="inlineStr">
        <is>
          <t>취약</t>
        </is>
      </c>
      <c r="H22" s="12">
        <f>IF(COUNTIF(I22:I31,"N/A")=COUNTA(I22:I31),"N/A",AVERAGE(I22:I31))</f>
        <v/>
      </c>
      <c r="I22" s="12">
        <f>IF(COUNTIF($F22:$F22,"N/A")=COUNTA($F22:$F22),"N/A",$J22/(COUNTA($F22:$F22)-$L22))</f>
        <v/>
      </c>
      <c r="J22" s="9">
        <f>COUNTIF($F22:$F22,"양호")</f>
        <v/>
      </c>
      <c r="K22" s="9">
        <f>COUNTIF($F22:$F22,"취약")</f>
        <v/>
      </c>
      <c r="L22" s="9">
        <f>COUNTIF($F22:$F22,"N/A")</f>
        <v/>
      </c>
    </row>
    <row r="23">
      <c r="B23" s="23" t="n"/>
      <c r="C23" s="14" t="inlineStr">
        <is>
          <t>3.2</t>
        </is>
      </c>
      <c r="D23" s="2" t="inlineStr">
        <is>
          <t>보안 그룹 인/아웃바운드 불필요 정책 관리</t>
        </is>
      </c>
      <c r="E23" s="9" t="inlineStr">
        <is>
          <t>상</t>
        </is>
      </c>
      <c r="F23" s="15" t="inlineStr">
        <is>
          <t>취약</t>
        </is>
      </c>
      <c r="H23" s="23" t="n"/>
      <c r="I23" s="12">
        <f>IF(COUNTIF($F23:$F23,"N/A")=COUNTA($F23:$F23),"N/A",$J23/(COUNTA($F23:$F23)-$L23))</f>
        <v/>
      </c>
      <c r="J23" s="9">
        <f>COUNTIF($F23:$F23,"양호")</f>
        <v/>
      </c>
      <c r="K23" s="9">
        <f>COUNTIF($F23:$F23,"취약")</f>
        <v/>
      </c>
      <c r="L23" s="9">
        <f>COUNTIF($F23:$F23,"N/A")</f>
        <v/>
      </c>
    </row>
    <row r="24">
      <c r="B24" s="23" t="n"/>
      <c r="C24" s="14" t="inlineStr">
        <is>
          <t>3.3</t>
        </is>
      </c>
      <c r="D24" s="2" t="inlineStr">
        <is>
          <t>네트워크 ACL 인/아웃바운드 트래픽 정책 관리</t>
        </is>
      </c>
      <c r="E24" s="9" t="inlineStr">
        <is>
          <t>중</t>
        </is>
      </c>
      <c r="F24" s="17" t="inlineStr">
        <is>
          <t>양호</t>
        </is>
      </c>
      <c r="H24" s="23" t="n"/>
      <c r="I24" s="12">
        <f>IF(COUNTIF($F24:$F24,"N/A")=COUNTA($F24:$F24),"N/A",$J24/(COUNTA($F24:$F24)-$L24))</f>
        <v/>
      </c>
      <c r="J24" s="9">
        <f>COUNTIF($F24:$F24,"양호")</f>
        <v/>
      </c>
      <c r="K24" s="9">
        <f>COUNTIF($F24:$F24,"취약")</f>
        <v/>
      </c>
      <c r="L24" s="9">
        <f>COUNTIF($F24:$F24,"N/A")</f>
        <v/>
      </c>
    </row>
    <row r="25">
      <c r="B25" s="23" t="n"/>
      <c r="C25" s="14" t="inlineStr">
        <is>
          <t>3.4</t>
        </is>
      </c>
      <c r="D25" s="2" t="inlineStr">
        <is>
          <t>라우팅 테이블 정책 관리</t>
        </is>
      </c>
      <c r="E25" s="9" t="inlineStr">
        <is>
          <t>중</t>
        </is>
      </c>
      <c r="F25" s="17" t="inlineStr">
        <is>
          <t>양호</t>
        </is>
      </c>
      <c r="H25" s="23" t="n"/>
      <c r="I25" s="12">
        <f>IF(COUNTIF($F25:$F25,"N/A")=COUNTA($F25:$F25),"N/A",$J25/(COUNTA($F25:$F25)-$L25))</f>
        <v/>
      </c>
      <c r="J25" s="9">
        <f>COUNTIF($F25:$F25,"양호")</f>
        <v/>
      </c>
      <c r="K25" s="9">
        <f>COUNTIF($F25:$F25,"취약")</f>
        <v/>
      </c>
      <c r="L25" s="9">
        <f>COUNTIF($F25:$F25,"N/A")</f>
        <v/>
      </c>
    </row>
    <row r="26">
      <c r="B26" s="23" t="n"/>
      <c r="C26" s="14" t="inlineStr">
        <is>
          <t>3.5</t>
        </is>
      </c>
      <c r="D26" s="2" t="inlineStr">
        <is>
          <t>인터넷 게이트웨이 연결 관리</t>
        </is>
      </c>
      <c r="E26" s="9" t="inlineStr">
        <is>
          <t>하</t>
        </is>
      </c>
      <c r="F26" s="15" t="inlineStr">
        <is>
          <t>취약</t>
        </is>
      </c>
      <c r="H26" s="23" t="n"/>
      <c r="I26" s="12">
        <f>IF(COUNTIF($F26:$F26,"N/A")=COUNTA($F26:$F26),"N/A",$J26/(COUNTA($F26:$F26)-$L26))</f>
        <v/>
      </c>
      <c r="J26" s="9">
        <f>COUNTIF($F26:$F26,"양호")</f>
        <v/>
      </c>
      <c r="K26" s="9">
        <f>COUNTIF($F26:$F26,"취약")</f>
        <v/>
      </c>
      <c r="L26" s="9">
        <f>COUNTIF($F26:$F26,"N/A")</f>
        <v/>
      </c>
    </row>
    <row r="27">
      <c r="B27" s="23" t="n"/>
      <c r="C27" s="14" t="inlineStr">
        <is>
          <t>3.6</t>
        </is>
      </c>
      <c r="D27" s="2" t="inlineStr">
        <is>
          <t>NAT 게이트웨이 연결 관리</t>
        </is>
      </c>
      <c r="E27" s="9" t="inlineStr">
        <is>
          <t>중</t>
        </is>
      </c>
      <c r="F27" s="17" t="inlineStr">
        <is>
          <t>양호</t>
        </is>
      </c>
      <c r="H27" s="23" t="n"/>
      <c r="I27" s="12">
        <f>IF(COUNTIF($F27:$F27,"N/A")=COUNTA($F27:$F27),"N/A",$J27/(COUNTA($F27:$F27)-$L27))</f>
        <v/>
      </c>
      <c r="J27" s="9">
        <f>COUNTIF($F27:$F27,"양호")</f>
        <v/>
      </c>
      <c r="K27" s="9">
        <f>COUNTIF($F27:$F27,"취약")</f>
        <v/>
      </c>
      <c r="L27" s="9">
        <f>COUNTIF($F27:$F27,"N/A")</f>
        <v/>
      </c>
    </row>
    <row r="28">
      <c r="B28" s="23" t="n"/>
      <c r="C28" s="14" t="inlineStr">
        <is>
          <t>3.7</t>
        </is>
      </c>
      <c r="D28" s="2" t="inlineStr">
        <is>
          <t>S3 버킷/객체 접근 관리</t>
        </is>
      </c>
      <c r="E28" s="9" t="inlineStr">
        <is>
          <t>중</t>
        </is>
      </c>
      <c r="F28" s="15" t="inlineStr">
        <is>
          <t>취약</t>
        </is>
      </c>
      <c r="H28" s="23" t="n"/>
      <c r="I28" s="12">
        <f>IF(COUNTIF($F28:$F28,"N/A")=COUNTA($F28:$F28),"N/A",$J28/(COUNTA($F28:$F28)-$L28))</f>
        <v/>
      </c>
      <c r="J28" s="9">
        <f>COUNTIF($F28:$F28,"양호")</f>
        <v/>
      </c>
      <c r="K28" s="9">
        <f>COUNTIF($F28:$F28,"취약")</f>
        <v/>
      </c>
      <c r="L28" s="9">
        <f>COUNTIF($F28:$F28,"N/A")</f>
        <v/>
      </c>
    </row>
    <row r="29">
      <c r="B29" s="23" t="n"/>
      <c r="C29" s="14" t="inlineStr">
        <is>
          <t>3.8</t>
        </is>
      </c>
      <c r="D29" s="2" t="inlineStr">
        <is>
          <t>RDS 서브넷 가용 영역 관리</t>
        </is>
      </c>
      <c r="E29" s="9" t="inlineStr">
        <is>
          <t>중</t>
        </is>
      </c>
      <c r="F29" s="17" t="inlineStr">
        <is>
          <t>양호</t>
        </is>
      </c>
      <c r="H29" s="23" t="n"/>
      <c r="I29" s="12">
        <f>IF(COUNTIF($F29:$F29,"N/A")=COUNTA($F29:$F29),"N/A",$J29/(COUNTA($F29:$F29)-$L29))</f>
        <v/>
      </c>
      <c r="J29" s="9">
        <f>COUNTIF($F29:$F29,"양호")</f>
        <v/>
      </c>
      <c r="K29" s="9">
        <f>COUNTIF($F29:$F29,"취약")</f>
        <v/>
      </c>
      <c r="L29" s="9">
        <f>COUNTIF($F29:$F29,"N/A")</f>
        <v/>
      </c>
    </row>
    <row r="30">
      <c r="B30" s="23" t="n"/>
      <c r="C30" s="14" t="inlineStr">
        <is>
          <t>3.9</t>
        </is>
      </c>
      <c r="D30" s="2" t="inlineStr">
        <is>
          <t>EKS Pod 보안 정책 관리</t>
        </is>
      </c>
      <c r="E30" s="9" t="inlineStr">
        <is>
          <t>상</t>
        </is>
      </c>
      <c r="F30" s="18" t="inlineStr">
        <is>
          <t>N/A</t>
        </is>
      </c>
      <c r="H30" s="23" t="n"/>
      <c r="I30" s="12">
        <f>IF(COUNTIF($F30:$F30,"N/A")=COUNTA($F30:$F30),"N/A",$J30/(COUNTA($F30:$F30)-$L30))</f>
        <v/>
      </c>
      <c r="J30" s="9">
        <f>COUNTIF($F30:$F30,"양호")</f>
        <v/>
      </c>
      <c r="K30" s="9">
        <f>COUNTIF($F30:$F30,"취약")</f>
        <v/>
      </c>
      <c r="L30" s="9">
        <f>COUNTIF($F30:$F30,"N/A")</f>
        <v/>
      </c>
    </row>
    <row r="31">
      <c r="B31" s="22" t="n"/>
      <c r="C31" s="14" t="inlineStr">
        <is>
          <t>3.10</t>
        </is>
      </c>
      <c r="D31" s="2" t="inlineStr">
        <is>
          <t>ELB(Elastic Load Balancing) 연결 관리</t>
        </is>
      </c>
      <c r="E31" s="9" t="inlineStr">
        <is>
          <t>중</t>
        </is>
      </c>
      <c r="F31" s="17" t="inlineStr">
        <is>
          <t>양호</t>
        </is>
      </c>
      <c r="H31" s="22" t="n"/>
      <c r="I31" s="12">
        <f>IF(COUNTIF($F31:$F31,"N/A")=COUNTA($F31:$F31),"N/A",$J31/(COUNTA($F31:$F31)-$L31))</f>
        <v/>
      </c>
      <c r="J31" s="9">
        <f>COUNTIF($F31:$F31,"양호")</f>
        <v/>
      </c>
      <c r="K31" s="9">
        <f>COUNTIF($F31:$F31,"취약")</f>
        <v/>
      </c>
      <c r="L31" s="9">
        <f>COUNTIF($F31:$F31,"N/A")</f>
        <v/>
      </c>
    </row>
    <row r="32">
      <c r="B32" s="9" t="inlineStr">
        <is>
          <t>운영 관리</t>
        </is>
      </c>
      <c r="C32" s="14" t="inlineStr">
        <is>
          <t>4.1</t>
        </is>
      </c>
      <c r="D32" s="2" t="inlineStr">
        <is>
          <t>EBS 및 볼륨 암호화 설정</t>
        </is>
      </c>
      <c r="E32" s="9" t="inlineStr">
        <is>
          <t>중</t>
        </is>
      </c>
      <c r="F32" s="17" t="inlineStr">
        <is>
          <t>양호</t>
        </is>
      </c>
      <c r="H32" s="12">
        <f>IF(COUNTIF(I32:I46,"N/A")=COUNTA(I32:I46),"N/A",AVERAGE(I32:I46))</f>
        <v/>
      </c>
      <c r="I32" s="12">
        <f>IF(COUNTIF($F32:$F32,"N/A")=COUNTA($F32:$F32),"N/A",$J32/(COUNTA($F32:$F32)-$L32))</f>
        <v/>
      </c>
      <c r="J32" s="9">
        <f>COUNTIF($F32:$F32,"양호")</f>
        <v/>
      </c>
      <c r="K32" s="9">
        <f>COUNTIF($F32:$F32,"취약")</f>
        <v/>
      </c>
      <c r="L32" s="9">
        <f>COUNTIF($F32:$F32,"N/A")</f>
        <v/>
      </c>
    </row>
    <row r="33">
      <c r="B33" s="23" t="n"/>
      <c r="C33" s="14" t="inlineStr">
        <is>
          <t>4.2</t>
        </is>
      </c>
      <c r="D33" s="2" t="inlineStr">
        <is>
          <t>RDS 암호화 설정</t>
        </is>
      </c>
      <c r="E33" s="9" t="inlineStr">
        <is>
          <t>중</t>
        </is>
      </c>
      <c r="F33" s="17" t="inlineStr">
        <is>
          <t>양호</t>
        </is>
      </c>
      <c r="H33" s="23" t="n"/>
      <c r="I33" s="12">
        <f>IF(COUNTIF($F33:$F33,"N/A")=COUNTA($F33:$F33),"N/A",$J33/(COUNTA($F33:$F33)-$L33))</f>
        <v/>
      </c>
      <c r="J33" s="9">
        <f>COUNTIF($F33:$F33,"양호")</f>
        <v/>
      </c>
      <c r="K33" s="9">
        <f>COUNTIF($F33:$F33,"취약")</f>
        <v/>
      </c>
      <c r="L33" s="9">
        <f>COUNTIF($F33:$F33,"N/A")</f>
        <v/>
      </c>
    </row>
    <row r="34">
      <c r="B34" s="23" t="n"/>
      <c r="C34" s="14" t="inlineStr">
        <is>
          <t>4.3</t>
        </is>
      </c>
      <c r="D34" s="2" t="inlineStr">
        <is>
          <t>S3 암호화 설정</t>
        </is>
      </c>
      <c r="E34" s="9" t="inlineStr">
        <is>
          <t>중</t>
        </is>
      </c>
      <c r="F34" s="17" t="inlineStr">
        <is>
          <t>양호</t>
        </is>
      </c>
      <c r="H34" s="23" t="n"/>
      <c r="I34" s="12">
        <f>IF(COUNTIF($F34:$F34,"N/A")=COUNTA($F34:$F34),"N/A",$J34/(COUNTA($F34:$F34)-$L34))</f>
        <v/>
      </c>
      <c r="J34" s="9">
        <f>COUNTIF($F34:$F34,"양호")</f>
        <v/>
      </c>
      <c r="K34" s="9">
        <f>COUNTIF($F34:$F34,"취약")</f>
        <v/>
      </c>
      <c r="L34" s="9">
        <f>COUNTIF($F34:$F34,"N/A")</f>
        <v/>
      </c>
    </row>
    <row r="35">
      <c r="B35" s="23" t="n"/>
      <c r="C35" s="14" t="inlineStr">
        <is>
          <t>4.4</t>
        </is>
      </c>
      <c r="D35" s="2" t="inlineStr">
        <is>
          <t>통신구간 암호화 설정</t>
        </is>
      </c>
      <c r="E35" s="9" t="inlineStr">
        <is>
          <t>중</t>
        </is>
      </c>
      <c r="F35" s="18" t="inlineStr">
        <is>
          <t>N/A</t>
        </is>
      </c>
      <c r="H35" s="23" t="n"/>
      <c r="I35" s="12">
        <f>IF(COUNTIF($F35:$F35,"N/A")=COUNTA($F35:$F35),"N/A",$J35/(COUNTA($F35:$F35)-$L35))</f>
        <v/>
      </c>
      <c r="J35" s="9">
        <f>COUNTIF($F35:$F35,"양호")</f>
        <v/>
      </c>
      <c r="K35" s="9">
        <f>COUNTIF($F35:$F35,"취약")</f>
        <v/>
      </c>
      <c r="L35" s="9">
        <f>COUNTIF($F35:$F35,"N/A")</f>
        <v/>
      </c>
    </row>
    <row r="36">
      <c r="B36" s="23" t="n"/>
      <c r="C36" s="14" t="inlineStr">
        <is>
          <t>4.5</t>
        </is>
      </c>
      <c r="D36" s="2" t="inlineStr">
        <is>
          <t>CloudTrail 암호화 설정</t>
        </is>
      </c>
      <c r="E36" s="9" t="inlineStr">
        <is>
          <t>중</t>
        </is>
      </c>
      <c r="F36" s="17" t="inlineStr">
        <is>
          <t>양호</t>
        </is>
      </c>
      <c r="H36" s="23" t="n"/>
      <c r="I36" s="12">
        <f>IF(COUNTIF($F36:$F36,"N/A")=COUNTA($F36:$F36),"N/A",$J36/(COUNTA($F36:$F36)-$L36))</f>
        <v/>
      </c>
      <c r="J36" s="9">
        <f>COUNTIF($F36:$F36,"양호")</f>
        <v/>
      </c>
      <c r="K36" s="9">
        <f>COUNTIF($F36:$F36,"취약")</f>
        <v/>
      </c>
      <c r="L36" s="9">
        <f>COUNTIF($F36:$F36,"N/A")</f>
        <v/>
      </c>
    </row>
    <row r="37">
      <c r="B37" s="23" t="n"/>
      <c r="C37" s="14" t="inlineStr">
        <is>
          <t>4.6</t>
        </is>
      </c>
      <c r="D37" s="2" t="inlineStr">
        <is>
          <t>CloudWatch 암호화 설정</t>
        </is>
      </c>
      <c r="E37" s="9" t="inlineStr">
        <is>
          <t>중</t>
        </is>
      </c>
      <c r="F37" s="17" t="inlineStr">
        <is>
          <t>양호</t>
        </is>
      </c>
      <c r="H37" s="23" t="n"/>
      <c r="I37" s="12">
        <f>IF(COUNTIF($F37:$F37,"N/A")=COUNTA($F37:$F37),"N/A",$J37/(COUNTA($F37:$F37)-$L37))</f>
        <v/>
      </c>
      <c r="J37" s="9">
        <f>COUNTIF($F37:$F37,"양호")</f>
        <v/>
      </c>
      <c r="K37" s="9">
        <f>COUNTIF($F37:$F37,"취약")</f>
        <v/>
      </c>
      <c r="L37" s="9">
        <f>COUNTIF($F37:$F37,"N/A")</f>
        <v/>
      </c>
    </row>
    <row r="38">
      <c r="B38" s="23" t="n"/>
      <c r="C38" s="14" t="inlineStr">
        <is>
          <t>4.7</t>
        </is>
      </c>
      <c r="D38" s="2" t="inlineStr">
        <is>
          <t>AWS 사용자 계정 로깅 설정</t>
        </is>
      </c>
      <c r="E38" s="9" t="inlineStr">
        <is>
          <t>상</t>
        </is>
      </c>
      <c r="F38" s="17" t="inlineStr">
        <is>
          <t>양호</t>
        </is>
      </c>
      <c r="H38" s="23" t="n"/>
      <c r="I38" s="12">
        <f>IF(COUNTIF($F38:$F38,"N/A")=COUNTA($F38:$F38),"N/A",$J38/(COUNTA($F38:$F38)-$L38))</f>
        <v/>
      </c>
      <c r="J38" s="9">
        <f>COUNTIF($F38:$F38,"양호")</f>
        <v/>
      </c>
      <c r="K38" s="9">
        <f>COUNTIF($F38:$F38,"취약")</f>
        <v/>
      </c>
      <c r="L38" s="9">
        <f>COUNTIF($F38:$F38,"N/A")</f>
        <v/>
      </c>
    </row>
    <row r="39">
      <c r="B39" s="23" t="n"/>
      <c r="C39" s="14" t="inlineStr">
        <is>
          <t>4.8</t>
        </is>
      </c>
      <c r="D39" s="2" t="inlineStr">
        <is>
          <t>인스턴스 로깅 설정</t>
        </is>
      </c>
      <c r="E39" s="9" t="inlineStr">
        <is>
          <t>중</t>
        </is>
      </c>
      <c r="F39" s="18" t="inlineStr">
        <is>
          <t>N/A</t>
        </is>
      </c>
      <c r="H39" s="23" t="n"/>
      <c r="I39" s="12">
        <f>IF(COUNTIF($F39:$F39,"N/A")=COUNTA($F39:$F39),"N/A",$J39/(COUNTA($F39:$F39)-$L39))</f>
        <v/>
      </c>
      <c r="J39" s="9">
        <f>COUNTIF($F39:$F39,"양호")</f>
        <v/>
      </c>
      <c r="K39" s="9">
        <f>COUNTIF($F39:$F39,"취약")</f>
        <v/>
      </c>
      <c r="L39" s="9">
        <f>COUNTIF($F39:$F39,"N/A")</f>
        <v/>
      </c>
    </row>
    <row r="40">
      <c r="B40" s="23" t="n"/>
      <c r="C40" s="14" t="inlineStr">
        <is>
          <t>4.9</t>
        </is>
      </c>
      <c r="D40" s="2" t="inlineStr">
        <is>
          <t>RDS 로깅 설정</t>
        </is>
      </c>
      <c r="E40" s="9" t="inlineStr">
        <is>
          <t>중</t>
        </is>
      </c>
      <c r="F40" s="17" t="inlineStr">
        <is>
          <t>양호</t>
        </is>
      </c>
      <c r="H40" s="23" t="n"/>
      <c r="I40" s="12">
        <f>IF(COUNTIF($F40:$F40,"N/A")=COUNTA($F40:$F40),"N/A",$J40/(COUNTA($F40:$F40)-$L40))</f>
        <v/>
      </c>
      <c r="J40" s="9">
        <f>COUNTIF($F40:$F40,"양호")</f>
        <v/>
      </c>
      <c r="K40" s="9">
        <f>COUNTIF($F40:$F40,"취약")</f>
        <v/>
      </c>
      <c r="L40" s="9">
        <f>COUNTIF($F40:$F40,"N/A")</f>
        <v/>
      </c>
    </row>
    <row r="41">
      <c r="B41" s="23" t="n"/>
      <c r="C41" s="14" t="inlineStr">
        <is>
          <t>4.10</t>
        </is>
      </c>
      <c r="D41" s="2" t="inlineStr">
        <is>
          <t>S3 버킷 로깅 설정</t>
        </is>
      </c>
      <c r="E41" s="9" t="inlineStr">
        <is>
          <t>중</t>
        </is>
      </c>
      <c r="F41" s="15" t="inlineStr">
        <is>
          <t>취약</t>
        </is>
      </c>
      <c r="H41" s="23" t="n"/>
      <c r="I41" s="12">
        <f>IF(COUNTIF($F41:$F41,"N/A")=COUNTA($F41:$F41),"N/A",$J41/(COUNTA($F41:$F41)-$L41))</f>
        <v/>
      </c>
      <c r="J41" s="9">
        <f>COUNTIF($F41:$F41,"양호")</f>
        <v/>
      </c>
      <c r="K41" s="9">
        <f>COUNTIF($F41:$F41,"취약")</f>
        <v/>
      </c>
      <c r="L41" s="9">
        <f>COUNTIF($F41:$F41,"N/A")</f>
        <v/>
      </c>
    </row>
    <row r="42">
      <c r="B42" s="23" t="n"/>
      <c r="C42" s="14" t="inlineStr">
        <is>
          <t>4.11</t>
        </is>
      </c>
      <c r="D42" s="2" t="inlineStr">
        <is>
          <t>VPC 플로우 로깅 설정</t>
        </is>
      </c>
      <c r="E42" s="9" t="inlineStr">
        <is>
          <t>중</t>
        </is>
      </c>
      <c r="F42" s="17" t="inlineStr">
        <is>
          <t>양호</t>
        </is>
      </c>
      <c r="H42" s="23" t="n"/>
      <c r="I42" s="12">
        <f>IF(COUNTIF($F42:$F42,"N/A")=COUNTA($F42:$F42),"N/A",$J42/(COUNTA($F42:$F42)-$L42))</f>
        <v/>
      </c>
      <c r="J42" s="9">
        <f>COUNTIF($F42:$F42,"양호")</f>
        <v/>
      </c>
      <c r="K42" s="9">
        <f>COUNTIF($F42:$F42,"취약")</f>
        <v/>
      </c>
      <c r="L42" s="9">
        <f>COUNTIF($F42:$F42,"N/A")</f>
        <v/>
      </c>
    </row>
    <row r="43">
      <c r="B43" s="23" t="n"/>
      <c r="C43" s="14" t="inlineStr">
        <is>
          <t>4.12</t>
        </is>
      </c>
      <c r="D43" s="2" t="inlineStr">
        <is>
          <t>로그 보관 기간 설정</t>
        </is>
      </c>
      <c r="E43" s="9" t="inlineStr">
        <is>
          <t>중</t>
        </is>
      </c>
      <c r="F43" s="17" t="inlineStr">
        <is>
          <t>양호</t>
        </is>
      </c>
      <c r="H43" s="23" t="n"/>
      <c r="I43" s="12">
        <f>IF(COUNTIF($F43:$F43,"N/A")=COUNTA($F43:$F43),"N/A",$J43/(COUNTA($F43:$F43)-$L43))</f>
        <v/>
      </c>
      <c r="J43" s="9">
        <f>COUNTIF($F43:$F43,"양호")</f>
        <v/>
      </c>
      <c r="K43" s="9">
        <f>COUNTIF($F43:$F43,"취약")</f>
        <v/>
      </c>
      <c r="L43" s="9">
        <f>COUNTIF($F43:$F43,"N/A")</f>
        <v/>
      </c>
    </row>
    <row r="44">
      <c r="B44" s="23" t="n"/>
      <c r="C44" s="14" t="inlineStr">
        <is>
          <t>4.13</t>
        </is>
      </c>
      <c r="D44" s="2" t="inlineStr">
        <is>
          <t>백업 사용 여부</t>
        </is>
      </c>
      <c r="E44" s="9" t="inlineStr">
        <is>
          <t>중</t>
        </is>
      </c>
      <c r="F44" s="17" t="inlineStr">
        <is>
          <t>양호</t>
        </is>
      </c>
      <c r="H44" s="23" t="n"/>
      <c r="I44" s="12">
        <f>IF(COUNTIF($F44:$F44,"N/A")=COUNTA($F44:$F44),"N/A",$J44/(COUNTA($F44:$F44)-$L44))</f>
        <v/>
      </c>
      <c r="J44" s="9">
        <f>COUNTIF($F44:$F44,"양호")</f>
        <v/>
      </c>
      <c r="K44" s="9">
        <f>COUNTIF($F44:$F44,"취약")</f>
        <v/>
      </c>
      <c r="L44" s="9">
        <f>COUNTIF($F44:$F44,"N/A")</f>
        <v/>
      </c>
    </row>
    <row r="45">
      <c r="B45" s="23" t="n"/>
      <c r="C45" s="14" t="inlineStr">
        <is>
          <t>4.14</t>
        </is>
      </c>
      <c r="D45" s="2" t="inlineStr">
        <is>
          <t>EKS Cluster 제어 플레인 로깅 설정</t>
        </is>
      </c>
      <c r="E45" s="9" t="inlineStr">
        <is>
          <t>중</t>
        </is>
      </c>
      <c r="F45" s="18" t="inlineStr">
        <is>
          <t>N/A</t>
        </is>
      </c>
      <c r="H45" s="23" t="n"/>
      <c r="I45" s="12">
        <f>IF(COUNTIF($F45:$F45,"N/A")=COUNTA($F45:$F45),"N/A",$J45/(COUNTA($F45:$F45)-$L45))</f>
        <v/>
      </c>
      <c r="J45" s="9">
        <f>COUNTIF($F45:$F45,"양호")</f>
        <v/>
      </c>
      <c r="K45" s="9">
        <f>COUNTIF($F45:$F45,"취약")</f>
        <v/>
      </c>
      <c r="L45" s="9">
        <f>COUNTIF($F45:$F45,"N/A")</f>
        <v/>
      </c>
    </row>
    <row r="46">
      <c r="B46" s="22" t="n"/>
      <c r="C46" s="14" t="inlineStr">
        <is>
          <t>4.15</t>
        </is>
      </c>
      <c r="D46" s="2" t="inlineStr">
        <is>
          <t>EKS Cluster 암호화 설정</t>
        </is>
      </c>
      <c r="E46" s="9" t="inlineStr">
        <is>
          <t>중</t>
        </is>
      </c>
      <c r="F46" s="18" t="inlineStr">
        <is>
          <t>N/A</t>
        </is>
      </c>
      <c r="H46" s="22" t="n"/>
      <c r="I46" s="12">
        <f>IF(COUNTIF($F46:$F46,"N/A")=COUNTA($F46:$F46),"N/A",$J46/(COUNTA($F46:$F46)-$L46))</f>
        <v/>
      </c>
      <c r="J46" s="9">
        <f>COUNTIF($F46:$F46,"양호")</f>
        <v/>
      </c>
      <c r="K46" s="9">
        <f>COUNTIF($F46:$F46,"취약")</f>
        <v/>
      </c>
      <c r="L46" s="9">
        <f>COUNTIF($F46:$F46,"N/A")</f>
        <v/>
      </c>
    </row>
    <row r="47">
      <c r="B47" s="1" t="inlineStr">
        <is>
          <t>점검결과</t>
        </is>
      </c>
      <c r="C47" s="9" t="inlineStr">
        <is>
          <t>취약항목 개수</t>
        </is>
      </c>
      <c r="D47" s="20" t="n"/>
      <c r="E47" s="21" t="n"/>
      <c r="F47" s="19">
        <f>COUNTIF(F6:F46,"취약")</f>
        <v/>
      </c>
    </row>
    <row r="48">
      <c r="B48" s="22" t="n"/>
      <c r="C48" s="9" t="inlineStr">
        <is>
          <t>보안 적용율 (양호항목 / 진단항목) %</t>
        </is>
      </c>
      <c r="D48" s="20" t="n"/>
      <c r="E48" s="21" t="n"/>
      <c r="F48" s="12">
        <f>(COUNTIF(F6:F46,"양호"))/(COUNTA(F6:F46)-COUNTIF(F6:F46,"N/A"))</f>
        <v/>
      </c>
    </row>
  </sheetData>
  <mergeCells count="16">
    <mergeCell ref="B47:B48"/>
    <mergeCell ref="C3:C5"/>
    <mergeCell ref="B2:L2"/>
    <mergeCell ref="E3:E5"/>
    <mergeCell ref="H6:H18"/>
    <mergeCell ref="B6:B18"/>
    <mergeCell ref="B22:B31"/>
    <mergeCell ref="D3:D5"/>
    <mergeCell ref="B3:B5"/>
    <mergeCell ref="B19:B21"/>
    <mergeCell ref="H19:H21"/>
    <mergeCell ref="H22:H31"/>
    <mergeCell ref="H32:H46"/>
    <mergeCell ref="C48:E48"/>
    <mergeCell ref="B32:B46"/>
    <mergeCell ref="C47:E4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14" customWidth="1" min="2" max="2"/>
    <col width="6" customWidth="1" min="3" max="3"/>
    <col width="48" customWidth="1" min="4" max="4"/>
    <col width="100" customWidth="1" min="5" max="5"/>
    <col width="6" customWidth="1" min="6" max="6"/>
    <col width="55" customWidth="1" min="7" max="7"/>
    <col width="55" customWidth="1" min="8" max="8"/>
  </cols>
  <sheetData>
    <row r="1"/>
    <row r="2" ht="26" customHeight="1">
      <c r="B2" s="13" t="inlineStr">
        <is>
          <t>Check방 취약점 진단 상세 진단결과 (41항목)</t>
        </is>
      </c>
    </row>
    <row r="3">
      <c r="B3" s="7" t="inlineStr">
        <is>
          <t>진단항목</t>
        </is>
      </c>
      <c r="C3" s="7" t="inlineStr">
        <is>
          <t>No.</t>
        </is>
      </c>
      <c r="D3" s="7" t="inlineStr">
        <is>
          <t>세부 진단항목</t>
        </is>
      </c>
      <c r="E3" s="7" t="inlineStr">
        <is>
          <t>진단기준</t>
        </is>
      </c>
      <c r="F3" s="7" t="inlineStr">
        <is>
          <t>진단결과</t>
        </is>
      </c>
      <c r="G3" s="7" t="inlineStr">
        <is>
          <t>판단 근거</t>
        </is>
      </c>
      <c r="H3" s="7" t="inlineStr">
        <is>
          <t>조치 방법</t>
        </is>
      </c>
    </row>
    <row r="4">
      <c r="B4" s="23" t="n"/>
      <c r="C4" s="23" t="n"/>
      <c r="D4" s="23" t="n"/>
      <c r="E4" s="23" t="n"/>
      <c r="F4" s="23" t="n"/>
      <c r="G4" s="23" t="n"/>
      <c r="H4" s="23" t="n"/>
    </row>
    <row r="5">
      <c r="B5" s="22" t="n"/>
      <c r="C5" s="22" t="n"/>
      <c r="D5" s="22" t="n"/>
      <c r="E5" s="22" t="n"/>
      <c r="F5" s="22" t="n"/>
      <c r="G5" s="22" t="n"/>
      <c r="H5" s="22" t="n"/>
    </row>
    <row r="6">
      <c r="B6" s="9" t="inlineStr">
        <is>
          <t>계정 관리</t>
        </is>
      </c>
      <c r="C6" s="14" t="inlineStr">
        <is>
          <t>1.1</t>
        </is>
      </c>
      <c r="D6" s="2" t="inlineStr">
        <is>
          <t>사용자 계정 관리</t>
        </is>
      </c>
      <c r="E6" s="2" t="inlineStr">
        <is>
          <t>양호 : 관리자 권한을 보유한 다수 계정이 존재하지 않고 불필요한 계정이 존재하지 않을 경우
취약 : 관리자 권한을 보유한 다수 계정이 존재하거나 불필요한 계정이 존재할 경우</t>
        </is>
      </c>
      <c r="F6" s="15" t="inlineStr">
        <is>
          <t>취약</t>
        </is>
      </c>
      <c r="G6" s="2" t="inlineStr">
        <is>
          <t>- 판단기준의 '관리자 권한 보유 다수 계정' 조건 ↔ 점검내용상 어떤 계정에도 AdministratorAccess·PowerUserAccess·IAMFullAccess 등 전체 관리자 권한 정책이 부여되어 있지 않음
- EC2-ADMIN 계정은 AWSBackupFullAccess[직접], AmazonEC2FullAccess·AmazonS3FullAccess·AWSBackupServiceRolePolicyForIndexing[그룹:INSTANCE-IAM]를 보유하나, 이는 모두 특정 서비스 범위의 FullAccess일 뿐 계정 전체를 통제하는 관리자(Administrator) 권한이 아니므로 '관리자 권한 계정'으로 분류되지 않음
- checkbang-s3-connect 계정은 s3-access-check-bang[직접] 인라인 정책만 보유하여 권한 범위가 제한적임
- 따라서 관리자 권한을 보유한 다수 계정이 존재하지 않으며, 점검내용상 불필요한 계정으로 식별되는 비표준 계정도 확인되지 않음 → 판단기준의 양호 조건에 부합</t>
        </is>
      </c>
      <c r="H6" s="2" t="inlineStr">
        <is>
          <t>IAM 관리자 권한 보유 사용자 최소화 및 불필요한 사용자 삭제</t>
        </is>
      </c>
    </row>
    <row r="7">
      <c r="B7" s="23" t="n"/>
      <c r="C7" s="14" t="inlineStr">
        <is>
          <t>1.2</t>
        </is>
      </c>
      <c r="D7" s="2" t="inlineStr">
        <is>
          <t>IAM 사용자 계정 단일화 관리</t>
        </is>
      </c>
      <c r="E7" s="2" t="inlineStr">
        <is>
          <t>양호 : IAM 사용자 계정을 1인 1계정으로 사용하고 있는 경우
취약 : IAM 사용자 계정을 1인 1계정으로 사용하고 있지 않은 경우</t>
        </is>
      </c>
      <c r="F7" s="17" t="inlineStr">
        <is>
          <t>양호</t>
        </is>
      </c>
      <c r="G7" s="2" t="inlineStr">
        <is>
          <t>- 판단기준은 'IAM 사용자 계정을 1인 1계정(개인 식별 가능)으로 사용'할 때만 양호이며, 그렇지 않으면 취약임
- 점검내용의 IAM 사용자 목록은 'checkbang-s3-connect', 'EC2-ADMIN' 두 계정으로, 둘 다 개인을 식별하는 사용자명이 아니라 용도/역할 기반(S3 연동용, EC2 관리자) 명칭으로 보임
- 'checkbang-s3-connect'는 서비스/애플리케이션 연동 목적의 공용 계정으로 추정되어 특정 개인 1인에 귀속된다고 볼 수 없음
- 'EC2-ADMIN'은 관리자 역할 기반의 공용 계정 명칭으로, 여러 사용자가 공유하여 사용할 가능성이 높아 1인 1계정 원칙에 위배되는 이상치로 의심됨
- 개인별 단일 계정 사용이 증적으로 확인되지 않고 공용/역할 기반 계정명이 식별되므로 보수적으로 취약 판정</t>
        </is>
      </c>
      <c r="H7" s="2" t="inlineStr">
        <is>
          <t>담당자 1인당 IAM 사용자 1개 발급 및 공용 계정 제거</t>
        </is>
      </c>
    </row>
    <row r="8">
      <c r="B8" s="23" t="n"/>
      <c r="C8" s="14" t="inlineStr">
        <is>
          <t>1.3</t>
        </is>
      </c>
      <c r="D8" s="2" t="inlineStr">
        <is>
          <t>IAM 사용자 계정 식별 관리</t>
        </is>
      </c>
      <c r="E8" s="2" t="inlineStr">
        <is>
          <t>양호 : 사용자 정보(이름, 이메일, 부서 등)가 IAM 사용자 태그에 설정되어 있을 경우
취약 : 사용자 정보(이름, 이메일, 부서 등)가 IAM 사용자 태그에 설정되어 있지 않을 경우</t>
        </is>
      </c>
      <c r="F8" s="15" t="inlineStr">
        <is>
          <t>취약</t>
        </is>
      </c>
      <c r="G8" s="2" t="inlineStr">
        <is>
          <t>- 판단기준은 사용자 정보(이름, 이메일, 부서 등)가 IAM 사용자 태그에 설정되어 있어야 '양호'로 본다.
- EC2-ADMIN 계정은 'name, Email, Department, Position' 태그가 모두 설정되어 있어 식별 정보 요건을 충족한다.
- 반면 checkbang-s3-connect 계정은 'DepartMent, Name'만 설정되어 있고 이메일(Email) 등 핵심 식별 정보가 누락되어 있어 기준을 충족하지 못한다.
- 또한 checkbang-s3-connect 태그의 세 번째 값 'AKIAXXXXXXXXXXXXXXXX'는 사용자 식별 정보(이름·이메일·부서)가 아니라 Access Key ID 형태의 비표준 값으로, 식별 태그로 부적절한 이상치에 해당한다.
- 한 계정이라도 식별 정보가 미흡하고 비정상 태그가 존재하므로 보수적으로 '취약'으로 판정한다.</t>
        </is>
      </c>
      <c r="H8" s="2" t="inlineStr">
        <is>
          <t>IAM 사용자별 이름·이메일·부서 등 식별 정보 태그 등록</t>
        </is>
      </c>
    </row>
    <row r="9">
      <c r="B9" s="23" t="n"/>
      <c r="C9" s="14" t="inlineStr">
        <is>
          <t>1.4</t>
        </is>
      </c>
      <c r="D9" s="2" t="inlineStr">
        <is>
          <t>IAM 그룹 사용자 계정 관리</t>
        </is>
      </c>
      <c r="E9" s="2" t="inlineStr">
        <is>
          <t>양호 : IAM 그룹에 포함된 사용자 계정 중 불필요한 계정이 존재하지 않을 경우
취약 : IAM 그룹에 포함된 사용자 계정 중 불필요한 계정이 존재할 경우</t>
        </is>
      </c>
      <c r="F9" s="15" t="inlineStr">
        <is>
          <t>취약</t>
        </is>
      </c>
      <c r="G9" s="2" t="inlineStr">
        <is>
          <t>- 판단기준은 IAM 그룹에 포함된 사용자 계정 중 불필요한 계정 존재 여부로 양호/취약을 가른다.
- 점검내용(로우데이터)에는 'INSTANCE-IAM: EC2-ADMIN' 즉 EC2-ADMIN 그룹의 존재만 확인될 뿐, 해당 그룹에 소속된 개별 사용자 계정 목록(iam get-group 결과)이 제시되지 않았다.
- 그룹 내 계정의 정상/불필요 여부를 판정할 증적(소속 사용자 식별, 사용 목적, 권한 적정성)이 부재하여 불필요 계정 부재를 확인할 수 없다.
- 증적 부족·확인 불가 시 보수적으로 취약 판정한다는 기준에 따라 '취약'으로 판정한다.</t>
        </is>
      </c>
      <c r="H9" s="2" t="inlineStr">
        <is>
          <t>IAM 그룹 내 미사용 사용자 식별 및 그룹에서 제외</t>
        </is>
      </c>
    </row>
    <row r="10">
      <c r="B10" s="23" t="n"/>
      <c r="C10" s="14" t="inlineStr">
        <is>
          <t>1.5</t>
        </is>
      </c>
      <c r="D10" s="2" t="inlineStr">
        <is>
          <t>Key Pair 접근 관리</t>
        </is>
      </c>
      <c r="E10" s="2" t="inlineStr">
        <is>
          <t>양호 : Key Pair(PEM)를 통해 EC2 인스턴스에 접근할 경우
취약 : Key Pair(PEM)가 아닌 일반 패스워드로 EC2 인스턴스에 접근할 경우</t>
        </is>
      </c>
      <c r="F10" s="17" t="inlineStr">
        <is>
          <t>양호</t>
        </is>
      </c>
      <c r="G10" s="2" t="inlineStr">
        <is>
          <t>- 판단기준은 EC2 인스턴스 접근이 Key Pair(PEM) 기반이면 양호, 일반 패스워드 기반이면 취약임
- 점검내용의 모든 인스턴스(i-0ba33b7fc769a3a76, i-0d147333acd730048, i-0de7a456322d695c3, i-09f792e70c21d2ea9)가 KeyName 값(CHECKER_BASTION, CHECKER_WEBSERVER, CHECKER_BASTION, CHECKER_BASTION)을 보유하여 Key Pair를 통해 접근하도록 구성되어 있음
- KeyName이 비어있거나 누락된(패스워드 접근을 시사하는) 이상치 인스턴스가 존재하지 않으므로 양호로 판정함</t>
        </is>
      </c>
      <c r="H10" s="2" t="inlineStr"/>
    </row>
    <row r="11">
      <c r="B11" s="23" t="n"/>
      <c r="C11" s="14" t="inlineStr">
        <is>
          <t>1.6</t>
        </is>
      </c>
      <c r="D11" s="2" t="inlineStr">
        <is>
          <t>Key Pair 보관 관리</t>
        </is>
      </c>
      <c r="E11" s="2" t="inlineStr">
        <is>
          <t>양호 : Key Pair(PEM) File의 보관 위치가 쉽게 유추할 수 없는 공간에 보관되어 있을 경우
취약 : Key Pair(PEM) File의 보관 위치가 다수 접근이 가능한 공용 공간(퍼블릭 S3, EC2 "Admin Console(/)" 디렉터리 등)에 보관되어 있을 경우</t>
        </is>
      </c>
      <c r="F11" s="18" t="inlineStr">
        <is>
          <t>N/A</t>
        </is>
      </c>
      <c r="G11" s="2" t="inlineStr">
        <is>
          <t>- 판단기준상 '양호'는 Key Pair(PEM) File이 쉽게 유추할 수 없는 공간에 보관되어 있음을 확인해야 성립하나, 점검내용은 'S3 버킷에서 .pem/.ppk/.key 미발견 — 보관 위치 수동 확인'으로 보관 위치 자체를 확정하지 못했다.
- 점검내용의 '스캔 상한 2000키/버킷' 라인은 버킷 내 객체 전수 조사가 아닌 상한 스캔임을 의미하므로, 상한을 초과하는 키 영역에 PEM/PPK/KEY 파일이 퍼블릭 S3 등 공용 공간에 보관되어 있을 가능성을 배제할 수 없다.
- '미발견'이 곧 '안전한 위치 보관'을 보장하지 않으며(EC2 Admin Console '/' 디렉터리 등 S3 외 공용 공간 보관 여부도 미확인), 증적이 보관 위치를 입증하지 못하므로 확인 불가 상태다.
- 증적 부족·확인 불가 시 보수적으로 '취약' 판정 원칙에 따라 취약으로 판단한다(수동으로 보관 위치가 유추 곤란한 공간임이 증적으로 확인되면 '양호'로 재판정 가능).</t>
        </is>
      </c>
      <c r="H11" s="2" t="inlineStr">
        <is>
          <t>키 페어(.pem) 파일을 외부 접근이 불가한 비공개 위치에 보관 (퍼블릭 S3 보관 금지)</t>
        </is>
      </c>
    </row>
    <row r="12">
      <c r="B12" s="23" t="n"/>
      <c r="C12" s="14" t="inlineStr">
        <is>
          <t>1.7</t>
        </is>
      </c>
      <c r="D12" s="2" t="inlineStr">
        <is>
          <t>Admin Console 관리자 정책 관리</t>
        </is>
      </c>
      <c r="E12" s="2" t="inlineStr">
        <is>
          <t>양호 : Admin Console 계정을 서비스 용도로 사용하지 않는 경우
취약 : Admin Console 계정을 서비스 용도로 사용하는 경우</t>
        </is>
      </c>
      <c r="F12" s="17" t="inlineStr">
        <is>
          <t>양호</t>
        </is>
      </c>
      <c r="G12" s="2" t="inlineStr">
        <is>
          <t>- 판단기준은 Admin Console(루트) 계정을 서비스 용도(API/액세스 키 등)로 사용하지 않으면 '양호'로 본다.
- 점검내용 &lt;root_account&gt; 라인에서 access_key_1_active=false 로 첫 번째 액세스 키가 비활성화 상태이다.
- 같은 라인에서 access_key_2_active=false 로 두 번째 액세스 키도 비활성화 상태이다.
- 루트 계정의 액세스 키가 모두 비활성(false)이므로 Admin Console 계정을 서비스(프로그래밍 방식) 용도로 사용하는 정황이 없어 '양호'로 판정한다.</t>
        </is>
      </c>
      <c r="H12" s="2" t="inlineStr"/>
    </row>
    <row r="13">
      <c r="B13" s="23" t="n"/>
      <c r="C13" s="14" t="inlineStr">
        <is>
          <t>1.8</t>
        </is>
      </c>
      <c r="D13" s="2" t="inlineStr">
        <is>
          <t>Admin Console 계정 Access Key 활성화 및 사용주기 관리</t>
        </is>
      </c>
      <c r="E13" s="2" t="inlineStr">
        <is>
          <t>양호 : AWS Admin Console 계정에 Access Key가 존재하지 않고 IAM 사용자 계정에 대한 Access Key 사용 주기가 60일 이내일 경우
취약 : AWS Admin Console 계정에 Access Key가 존재하거나 IAM 사용자 계정에 대한 Access Key 사용 주기가 60일 초과일 경우</t>
        </is>
      </c>
      <c r="F13" s="17" t="inlineStr">
        <is>
          <t>양호</t>
        </is>
      </c>
      <c r="G13" s="2" t="inlineStr">
        <is>
          <t>- 판단기준의 'AWS Admin Console(root) 계정에 Access Key가 존재하지 않을 것' 조건 ↔ 점검내용 '&lt;root_account&gt;: access_key_1_active=false access_key_2_active=false' 라인으로 root 계정 Access Key가 모두 비활성/미존재함을 확인
- 판단기준의 'IAM 사용자 Access Key 사용 주기 60일 이내' 조건 ↔ 활성 키를 가진 'checkbang-s3-connect: key1(active=true,last_rotated=2026-05-26T02:55:59Z)'에서 마지막 교체일 2026-05-26 기준 점검일(2026-06-29)까지 약 34일로 60일 이내 충족
- 'EC2-ADMIN: key1(active=false) key2(active=false)' 및 checkbang의 key2(active=false)는 비활성 상태로 사용주기 판정 대상에서 제외되며, 활성 키 중 60일 초과 항목 없음
- root 계정 Access Key 존재 없음 + 활성 IAM Access Key가 모두 60일 이내 교체로 양호 조건 모두 충족</t>
        </is>
      </c>
      <c r="H13" s="2" t="inlineStr"/>
    </row>
    <row r="14">
      <c r="B14" s="23" t="n"/>
      <c r="C14" s="14" t="inlineStr">
        <is>
          <t>1.9</t>
        </is>
      </c>
      <c r="D14" s="2" t="inlineStr">
        <is>
          <t>MFA (Multi-Factor Authentication) 설정</t>
        </is>
      </c>
      <c r="E14" s="2" t="inlineStr">
        <is>
          <t>양호 : AWS 계정 및 IAM 사용자 계정 로그인 시 MFA가 활성화 되어 있을 경우
취약 : AWS 계정 및 IAM 사용자 계정 로그인 시 MFA 가 비활성화 되어 있을 경우</t>
        </is>
      </c>
      <c r="F14" s="15" t="inlineStr">
        <is>
          <t>취약</t>
        </is>
      </c>
      <c r="G14" s="2" t="inlineStr">
        <is>
          <t>- 판단기준(양호: AWS 계정 및 IAM 사용자 계정 로그인 시 MFA 활성화) ↔ 점검내용에서 EC2-ADMIN 계정이 'password_enabled=true mfa_active=false'로, 콘솔 로그인이 가능한 IAM 사용자임에도 MFA가 비활성화되어 있음
- 이상치(의심) 항목: EC2-ADMIN — 로우데이터 마지막 라인 '# MFA 미설정: EC2-ADMIN'에서도 명시적으로 MFA 미설정으로 확인됨
- root_account(mfa_active=true), checkbang-s3-connect(password_enabled=false mfa_active=true)는 양호하나, 단 한 계정이라도 콘솔 로그인 가능 + MFA 비활성화이면 판단기준상 취약
- 따라서 MFA 비활성화 계정(EC2-ADMIN)이 존재하므로 '취약'으로 판정</t>
        </is>
      </c>
      <c r="H14" s="2" t="inlineStr">
        <is>
          <t>루트 계정 및 IAM 사용자 로그인 시 MFA(다중 인증) 활성화</t>
        </is>
      </c>
    </row>
    <row r="15">
      <c r="B15" s="23" t="n"/>
      <c r="C15" s="14" t="inlineStr">
        <is>
          <t>1.10</t>
        </is>
      </c>
      <c r="D15" s="2" t="inlineStr">
        <is>
          <t>AWS 계정 패스워드 정책 관리</t>
        </is>
      </c>
      <c r="E15" s="2" t="inlineStr">
        <is>
          <t>양호 : Admin Console 및 IAM 계정의 패스워드 복잡성 기준 준수 및 암호 만료/재사용 제한을 설정하고 있을 경우
취약 : Admin Console 및 IAM 계정의 패스워드 복잡성 기준 준수 및 암호 만료/재사용 제한을 설정하고 있지 않을 경우</t>
        </is>
      </c>
      <c r="F15" s="17" t="inlineStr">
        <is>
          <t>양호</t>
        </is>
      </c>
      <c r="G15" s="2" t="inlineStr">
        <is>
          <t>- 패스워드 복잡성: "MinimumPasswordLength": 8 로 최소 길이 8자 이상이며, RequireSymbols/RequireNumbers/RequireUppercaseCharacters/RequireLowercaseCharacters 가 모두 true 로 특수문자·숫자·대문자·소문자 조합이 강제되어 복잡성 기준을 충족함
- 암호 만료 제한: "ExpirePasswords": true 및 "MaxPasswordAge": 60 으로 60일 주기의 패스워드 만료가 설정되어 있음
- 재사용 제한: "PasswordReusePrevention": 3 으로 직전 사용 암호 재사용 제한이 설정되어 있음
- 판단기준의 '복잡성 기준 준수 및 암호 만료/재사용 제한 설정' 조건을 모든 항목에서 충족하므로 양호로 판정함</t>
        </is>
      </c>
      <c r="H15" s="2" t="inlineStr"/>
    </row>
    <row r="16">
      <c r="B16" s="23" t="n"/>
      <c r="C16" s="14" t="inlineStr">
        <is>
          <t>1.11</t>
        </is>
      </c>
      <c r="D16" s="2" t="inlineStr">
        <is>
          <t>EKS 사용자 관리</t>
        </is>
      </c>
      <c r="E16" s="2" t="inlineStr">
        <is>
          <t>양호 : EKS 리소스 접근을 위한 ConfigMap(RBAC) 내 인가된 사용자만 설정되어 있는 경우
취약 : EKS 리소스 접근을 위한 ConfigMap(RBAC) 내 인가된 사용자만 설정되어 있지 않은 경우</t>
        </is>
      </c>
      <c r="F16" s="18" t="inlineStr">
        <is>
          <t>N/A</t>
        </is>
      </c>
      <c r="G16" s="2" t="inlineStr">
        <is>
          <t>- 점검내용 로우데이터에 'EKS 클러스터 없음 — 진단 대상 아님'으로 명시되어, eks list-clusters 결과 진단 대상 클러스터가 존재하지 않음
- 판단기준은 EKS 리소스 접근용 ConfigMap(RBAC) 내 인가 사용자 설정 여부를 점검하나, 클러스터 자체가 없어 점검 대상(ConfigMap/RBAC)이 존재하지 않음
- 항목이 해당 진단대상의 점검 대상이 아닌 경우에 해당하므로 N/A로 판정</t>
        </is>
      </c>
      <c r="H16" s="2" t="inlineStr"/>
    </row>
    <row r="17">
      <c r="B17" s="23" t="n"/>
      <c r="C17" s="14" t="inlineStr">
        <is>
          <t>1.12</t>
        </is>
      </c>
      <c r="D17" s="2" t="inlineStr">
        <is>
          <t>EKS 서비스 어카운트 관리</t>
        </is>
      </c>
      <c r="E17" s="2" t="inlineStr">
        <is>
          <t>양호 : 네임스페이스 또는 서비스 어카운트 설정 내 automountServiceAccountToken 값이 False 로 설정된 경우
취약 : 네임스페이스 또는 서비스 어카운트 설정 내 automountServiceAccountToken 값이 True 로 설정된 경우</t>
        </is>
      </c>
      <c r="F17" s="18" t="inlineStr">
        <is>
          <t>N/A</t>
        </is>
      </c>
      <c r="G17" s="2" t="inlineStr">
        <is>
          <t>- 점검내용(로우데이터)에 'EKS 클러스터 없음 — 진단 대상 아님'으로 명시되어 있어, automountServiceAccountToken 값을 점검할 EKS 네임스페이스·서비스 어카운트 자체가 존재하지 않음
- 판단기준(automountServiceAccountToken False=양호 / True=취약)을 적용할 점검 대상이 부재하므로, 양호·취약 판정이 성립하지 않음
- 진단대상(Cloud AWS)에 EKS 서비스가 구성되어 있지 않은 '점검 대상 아님' 상황에 해당하여 N/A로 판정</t>
        </is>
      </c>
      <c r="H17" s="2" t="inlineStr"/>
    </row>
    <row r="18">
      <c r="B18" s="22" t="n"/>
      <c r="C18" s="14" t="inlineStr">
        <is>
          <t>1.13</t>
        </is>
      </c>
      <c r="D18" s="2" t="inlineStr">
        <is>
          <t>EKS 불필요한 익명 접근 관리</t>
        </is>
      </c>
      <c r="E18" s="2" t="inlineStr">
        <is>
          <t>양호 : ClusterRole 에 system:anonymous
unauthenticated 그룹이 바인딩 되어있지 않는 경우
취약 : ClusterRole 에 system:anonymous
unauthenticated 그룹이 바인딩 되어 있는 경우</t>
        </is>
      </c>
      <c r="F18" s="18" t="inlineStr">
        <is>
          <t>N/A</t>
        </is>
      </c>
      <c r="G18" s="2" t="inlineStr">
        <is>
          <t>- 판단기준은 ClusterRole 에 system:anonymous | unauthenticated 그룹 바인딩 여부를 확인하는 항목이나, 점검내용에 'EKS 클러스터 없음 — 진단 대상 아님'으로 명시되어 평가 대상이 존재하지 않음
- 점검파일(eks list-clusters) 결과상 클러스터가 존재하지 않아 익명 접근(ClusterRole 바인딩)을 점검할 대상 자체가 없음
- 점검 대상이 아닌 경우에 해당하므로 N/A 로 판정함</t>
        </is>
      </c>
      <c r="H18" s="2" t="inlineStr"/>
    </row>
    <row r="19">
      <c r="B19" s="9" t="inlineStr">
        <is>
          <t>권한 관리</t>
        </is>
      </c>
      <c r="C19" s="14" t="inlineStr">
        <is>
          <t>2.1</t>
        </is>
      </c>
      <c r="D19" s="2" t="inlineStr">
        <is>
          <t>인스턴스 서비스 정책 관리</t>
        </is>
      </c>
      <c r="E19" s="2" t="inlineStr">
        <is>
          <t>양호 : 인스턴스 서비스 IAM 사용 권한이 각각 서비스 역할에 맞게 설정되어 있을 경우
취약 : 인스턴스 서비스 IAM 사용 권한이 각각 서비스 역할에 맞지 않게 설정되어 있을 경우</t>
        </is>
      </c>
      <c r="F19" s="18" t="inlineStr">
        <is>
          <t>N/A</t>
        </is>
      </c>
      <c r="G19" s="2" t="inlineStr">
        <is>
          <t>- 판단기준은 '인스턴스 서비스 IAM 사용 권한이 각 서비스 역할에 맞게(최소권한) 설정'을 양호로 본다. 그러나 INSTANCE-IAM 그룹을 통해 EC2-ADMIN 사용자에게 AmazonEC2FullAccess, AmazonS3FullAccess 가 부여되어 있어, 인스턴스 서비스 용도에 비해 EC2/S3 전체 권한(FullAccess)을 과다하게 보유한다.
- EC2-ADMIN 은 추가로 AWSBackupFullAccess [직접] 도 보유하여 서비스 역할별 최소권한 원칙에 부합하지 않는다(관리자급 광범위 권한).
- 역할 'EC2-S3-Role' 은 명칭상 S3 접근 목적의 인스턴스 역할로 보이나 '(연결정책 없음)' 상태로, 부여된 권한이 역할 목적과 일치하지 않는 불일치 항목이다.
- 'ResourceManagerRole: ReadOnlyAccess' 는 계정 전반에 대한 광범위한 읽기 권한으로, 특정 인스턴스 서비스 역할에 한정된 권한으로 보기 어려워 의심 항목으로 식별된다.
- 로우데이터 말미에도 '서비스별 역할 적정성은 수동/AI 확인 대상'으로 명시되어 자동 양호 판정 근거가 없고, FullAccess 등 과다권한 매칭이 존재하므로 보수적으로 '취약'으로 판정한다.</t>
        </is>
      </c>
      <c r="H19" s="2" t="inlineStr">
        <is>
          <t>EC2 등 인스턴스 서비스 역할에 최소 권한 부여 및 과도한 권한 회수</t>
        </is>
      </c>
    </row>
    <row r="20">
      <c r="B20" s="23" t="n"/>
      <c r="C20" s="14" t="inlineStr">
        <is>
          <t>2.2</t>
        </is>
      </c>
      <c r="D20" s="2" t="inlineStr">
        <is>
          <t>네트워크 서비스 정책 관리</t>
        </is>
      </c>
      <c r="E20" s="2" t="inlineStr">
        <is>
          <t>양호 : 네트워크 서비스 IAM 사용 권한이 각각 서비스 역할에 맞게 설정되어 있을 경우
취약 : 네트워크 서비스 IAM 사용 권한이 각각 서비스 역할에 맞지 않게 설정되어 있을 경우</t>
        </is>
      </c>
      <c r="F20" s="18" t="inlineStr">
        <is>
          <t>N/A</t>
        </is>
      </c>
      <c r="G20" s="2" t="inlineStr">
        <is>
          <t>- 판단기준(네트워크 서비스 IAM 사용 권한이 각각 서비스 역할에 맞게 설정)과 대조한 결과, 서비스별 역할-정책 매핑이 일관되게 적절함: EKS 역할(eksCluster/eksCluster2/shim_eksCluster)은 AmazonEKSClusterPolicy, eksNode 계열은 AmazonEKS_CNI_Policy·AmazonEC2ContainerRegistryReadOnly·AmazonEKSWorkerNodePolicy 로 워커노드 표준 정책이 연결됨.
- ECS 역할(ecsTaskExecutionRole/ecsTaskExecutionRole2/shim_ecsTaskExecutionRole)은 AmazonECSTaskExecutionRolePolicy, ecsInstanceRole 은 AmazonEC2ContainerServiceforEC2Role 로 각 역할 목적에 부합.
- SSM 역할(EC2-SSM-Role, SSMInstance* 계열, ssm_instanceh0104)은 AmazonSSMManagedInstanceCore/AmazonEC2RoleforSSM, Lambda 역할(lambda-*-, LambdaS3Role* 계열)은 AWSLambdaBasicExecutionRole 또는 전용 LambdaS3Policy* 로, 서비스 역할에 맞는 최소 정책이 연결됨.
- CloudWatch/Backup/RDS 역할(EC2-CloudWatchAgentRole→CloudWatchAgentServerPolicy, CheckbangBackupRole→AWSBackupServiceRolePolicyForRestores/Backup, rds-monitoring-role→AmazonRDSEnhancedMonitoringRole)도 각 서비스 용도에 정합.
- 이상치 점검: 표준 패턴에 매칭되지 않는 과다권한(*FullAccess, AdministratorAccess 등) 역할은 발견되지 않았고 로우데이터에도 '과다권한 역할 없음'으로 명시됨. ReadOnlyAccess(ResourceManagerRole)는 읽기 전용으로 위험 권한이 아님.
- 연결정책 없는 역할(EC2-S3-Role, ec2_minimal_role, MyEC2ImportRole, vmimport)은 권한 초과가 아닌 미연결 상태이므로 '서비스 역할에 맞지 않는 과다 권한' 취약 사유에 해당하지 않음.</t>
        </is>
      </c>
      <c r="H20" s="2" t="inlineStr"/>
    </row>
    <row r="21">
      <c r="B21" s="22" t="n"/>
      <c r="C21" s="14" t="inlineStr">
        <is>
          <t>2.3</t>
        </is>
      </c>
      <c r="D21" s="2" t="inlineStr">
        <is>
          <t>기타 서비스 정책 관리</t>
        </is>
      </c>
      <c r="E21" s="2" t="inlineStr">
        <is>
          <t>양호 : 기타 서비스 IAM 사용 권한이 각각 서비스 역할에 맞게 설정되어 있을 경우
취약 : 기타 서비스 IAM 사용 권한이 각각 서비스 역할에 맞게 설정되어 있지 않을 경우</t>
        </is>
      </c>
      <c r="F21" s="18" t="inlineStr">
        <is>
          <t>N/A</t>
        </is>
      </c>
      <c r="G21" s="2" t="inlineStr">
        <is>
          <t>- 판단기준은 '각 서비스 역할에 맞게' 권한이 최소·적정하게 설정되어야 양호인데, IAM 사용자 EC2-ADMIN 에 AmazonEC2FullAccess·AmazonS3FullAccess·AWSBackupFullAccess 등 광범위한 *FullAccess 관리형 정책이 직접 및 그룹(INSTANCE-IAM) 경로로 중복 부여되어 특정 서비스 역할 범위를 초과한다.
- ResourceManagerRole 에 ReadOnlyAccess(전체 서비스 읽기 권한)가 부여되어 있어 단일 서비스 역할 목적에 비해 과도한 광역 권한으로 볼 수 있어 적정성 의심 대상이다.
- EC2-S3-Role, ec2_minimal_role, MyEC2ImportRole, vmimport 등은 연결정책이 전혀 없어 실제 서비스 역할 용도/적정성을 점검내용만으로 확인할 수 없으므로 증적 부족 항목으로 남는다.
- 점검내용 말미에 '서비스별 역할 적정성은 수동/AI 확인 대상'으로 명시되어 자동 판정만으로 적정성이 입증되지 않았고, FullAccess·ReadOnlyAccess 등 최소권한 위배 소지가 존재하므로 보수적으로 취약으로 판정한다.</t>
        </is>
      </c>
      <c r="H21" s="2" t="inlineStr">
        <is>
          <t>기타 서비스 역할에 최소 권한 부여 및 과도한 권한 회수</t>
        </is>
      </c>
    </row>
    <row r="22">
      <c r="B22" s="9" t="inlineStr">
        <is>
          <t>가상 리소스 관리</t>
        </is>
      </c>
      <c r="C22" s="14" t="inlineStr">
        <is>
          <t>3.1</t>
        </is>
      </c>
      <c r="D22" s="2" t="inlineStr">
        <is>
          <t>보안 그룹 인/아웃바운드 ANY 설정 관리</t>
        </is>
      </c>
      <c r="E22" s="2" t="inlineStr">
        <is>
          <t>양호 : 보안 그룹 내 인/아웃바운드의 포트가 Any로 허용되어 있지 않을 경우
취약 : 보안 그룹 내 인/아웃바운드의 포트가 Any로 허용되어 있을 경우</t>
        </is>
      </c>
      <c r="F22" s="15" t="inlineStr">
        <is>
          <t>취약</t>
        </is>
      </c>
      <c r="G22" s="2" t="inlineStr">
        <is>
          <t>- 판단기준은 '보안 그룹 내 인/아웃바운드 포트가 Any로 허용되어 있을 경우 취약'이며, sg-077fa5f2efcc13f11(CHECKER_SG)의 인바운드 규칙 'in: tcp 0 65535 0.0.0.0/0'은 0~65535 전 포트를 전체 대역(0.0.0.0/0)에 허용하므로 ANY 포트 개방에 해당한다.
- 아웃바운드 규칙 'out: -1 None None 0.0.0.0/0'은 프로토콜 -1(ALL)로 전체 대역에 개방되어 있어 ALL 프로토콜/ANY 개방에 해당한다.
- 나머지 규칙(tcp 1521/13389/22/3389, udp 13389 등)은 특정 포트·특정 호스트(/32)로 제한되어 양호하나, 위의 ANY 포트·ALL 프로토콜 전체개방 규칙이 하나라도 존재하므로 이상치로서 전체 판정은 취약이다.</t>
        </is>
      </c>
      <c r="H22" s="2" t="inlineStr">
        <is>
          <t>보안 그룹 내 전체 포트(0~65535) 허용 규칙 제거</t>
        </is>
      </c>
    </row>
    <row r="23">
      <c r="B23" s="23" t="n"/>
      <c r="C23" s="14" t="inlineStr">
        <is>
          <t>3.2</t>
        </is>
      </c>
      <c r="D23" s="2" t="inlineStr">
        <is>
          <t>보안 그룹 인/아웃바운드 불필요 정책 관리</t>
        </is>
      </c>
      <c r="E23" s="2" t="inlineStr">
        <is>
          <t>양호 : 보안 그룹 인/아웃바운드 규칙 내 불필요한 정책(Source, Destination)이 존재하지 않는 경우
취약 : 보안 그룹 인/아웃바운드 규칙 내 불필요한 정책(Source, Destination)이 존재하는 경우</t>
        </is>
      </c>
      <c r="F23" s="15" t="inlineStr">
        <is>
          <t>취약</t>
        </is>
      </c>
      <c r="G23" s="2" t="inlineStr">
        <is>
          <t>- 판단기준의 '인바운드 규칙 내 불필요한 정책 존재' 조건에 대응하여, 점검내용의 'in: tcp 0 65535 0.0.0.0/0 ← [ANY 포트] ← [전체개방]' 라인은 0~65535 전체 포트를 출발지 0.0.0.0/0(전 세계)로 개방하고 있어 명백히 불필요·과도한 정책에 해당함
- 판단기준의 '아웃바운드 규칙 내 불필요한 정책 존재' 조건에 대응하여, 점검내용의 'out: -1 None None 0.0.0.0/0 ← [ALL 프로토콜] ← [전체개방]' 라인은 모든 프로토콜을 목적지 0.0.0.0/0으로 전체 개방하고 있어 불필요한 정책에 해당함
- 나머지 인바운드 규칙(tcp 1521/13389/22/3389, udp 13389)은 특정 사설 IP(/32)로 제한되어 정상 패턴이나, 위 전체개방 규칙이 하나라도 존재하면 취약 조건이 충족됨
- 따라서 보안 그룹 CHECKER_SG(sg-077fa5f2efcc13f11)에 전체개방(0.0.0.0/0) 형태의 불필요한 인/아웃바운드 정책이 존재하므로 '취약'으로 판정함</t>
        </is>
      </c>
      <c r="H23" s="2" t="inlineStr">
        <is>
          <t>보안 그룹 내 전체 IP(0.0.0.0/0) 허용 규칙 제거 및 필요한 IP 대역만 허용</t>
        </is>
      </c>
    </row>
    <row r="24">
      <c r="B24" s="23" t="n"/>
      <c r="C24" s="14" t="inlineStr">
        <is>
          <t>3.3</t>
        </is>
      </c>
      <c r="D24" s="2" t="inlineStr">
        <is>
          <t>네트워크 ACL 인/아웃바운드 트래픽 정책 관리</t>
        </is>
      </c>
      <c r="E24" s="2" t="inlineStr">
        <is>
          <t>양호 : 네트워크 ACL 내 인/아웃바운드에 대한 모든 트래픽이 허용되어 있지 않을 경우
취약 : 네트워크 ACL 내 인/아웃바운드에 대한 모든 트래픽이 허용되어 있을 경우</t>
        </is>
      </c>
      <c r="F24" s="17" t="inlineStr">
        <is>
          <t>양호</t>
        </is>
      </c>
      <c r="G24" s="2" t="inlineStr">
        <is>
          <t>- 판단기준의 '양호: 네트워크 ACL 내 인/아웃바운드에 대한 모든 트래픽이 허용되어 있지 않을 경우'에 해당함
- 점검내용 라인 '커스텀 NACL 전체허용 없음'에 따라 커스텀 NACL의 인/아웃바운드 규칙에 0.0.0.0/0 ALL ALLOW(모든 트래픽 허용) 항목이 존재하지 않음을 확인함
- '기본 NACL 제외' 표기는 AWS 기본 NACL이 본래 전체 허용 구조를 가지는 점을 감안한 평가 범위로, 점검 대상인 커스텀 NACL에서 전체허용 이상치가 발견되지 않았으므로 의심 항목 없음</t>
        </is>
      </c>
      <c r="H24" s="2" t="inlineStr"/>
    </row>
    <row r="25">
      <c r="B25" s="23" t="n"/>
      <c r="C25" s="14" t="inlineStr">
        <is>
          <t>3.4</t>
        </is>
      </c>
      <c r="D25" s="2" t="inlineStr">
        <is>
          <t>라우팅 테이블 정책 관리</t>
        </is>
      </c>
      <c r="E25" s="2" t="inlineStr">
        <is>
          <t>양호 : 라우팅 테이블 내 ANY 정책이 설정되어 있지 않고 서비스 타깃 별로 설정되어 있을 경우
취약 : 라우팅 테이블 내 ANY 정책이 설정되어 있거나 서비스 타깃 별로 설정되어 있지 않을 경우</t>
        </is>
      </c>
      <c r="F25" s="17" t="inlineStr">
        <is>
          <t>양호</t>
        </is>
      </c>
      <c r="G25" s="2" t="inlineStr">
        <is>
          <t>- 판단기준의 '취약' 조건은 라우팅 테이블 내 ANY(0.0.0.0/0) 정책이 설정되어 있는 경우인데, 점검내용에서 '0.0.0.0/0→IGW 경로 없음'으로 확인됨
- ANY 대역(0.0.0.0/0)을 인터넷 게이트웨이(IGW)로 보내는 경로가 존재하지 않아, 불필요한 ANY 정책이 설정되어 있지 않음
- 따라서 ANY 정책 미설정 상태로 양호로 판정함</t>
        </is>
      </c>
      <c r="H25" s="2" t="inlineStr"/>
    </row>
    <row r="26">
      <c r="B26" s="23" t="n"/>
      <c r="C26" s="14" t="inlineStr">
        <is>
          <t>3.5</t>
        </is>
      </c>
      <c r="D26" s="2" t="inlineStr">
        <is>
          <t>인터넷 게이트웨이 연결 관리</t>
        </is>
      </c>
      <c r="E26" s="2" t="inlineStr">
        <is>
          <t>양호 : 인터넷 게이트웨이에 불필요하게 연결된 NAT 게이트웨이가 존재하지 않을 경우
취약 : 인터넷 게이트웨이에 불필요하게 연결된 NAT 게이트웨이가 존재하는 경우</t>
        </is>
      </c>
      <c r="F26" s="15" t="inlineStr">
        <is>
          <t>취약</t>
        </is>
      </c>
      <c r="G26" s="2" t="inlineStr">
        <is>
          <t>- 판단기준은 '인터넷 게이트웨이에 불필요하게 연결된(미연결·고아 포함) 자원이 존재하는지'를 확인하는 항목이며, 존재하지 않을 경우 양호로 판정한다.
- 점검내용(로우데이터) 라인이 '미연결(고아) IGW 없음'으로, 불필요하게 방치되거나 비정상적으로 연결된 인터넷 게이트웨이가 없음을 명시한다.
- 화이트리스트 차집합 관점에서도 정상 패턴(VPC에 정상 연결된 IGW)을 벗어나는 고아/이상 IGW가 별도로 열거되지 않았으므로 의심 항목이 없다.
- 따라서 불필요하게 연결된 게이트웨이가 존재하지 않아 양호로 판정한다.</t>
        </is>
      </c>
      <c r="H26" s="2" t="inlineStr">
        <is>
          <t>미사용(미연결) 인터넷 게이트웨이 삭제</t>
        </is>
      </c>
    </row>
    <row r="27">
      <c r="B27" s="23" t="n"/>
      <c r="C27" s="14" t="inlineStr">
        <is>
          <t>3.6</t>
        </is>
      </c>
      <c r="D27" s="2" t="inlineStr">
        <is>
          <t>NAT 게이트웨이 연결 관리</t>
        </is>
      </c>
      <c r="E27" s="2" t="inlineStr">
        <is>
          <t>양호 : 외부 통신이 필요한 리소스가 NAT 게이트웨이가 연결되어 있을 경우
취약 : 목적이 확인되지 않은 리소스가 NAT 게이트웨이에 연결되어 있을 경우</t>
        </is>
      </c>
      <c r="F27" s="17" t="inlineStr">
        <is>
          <t>양호</t>
        </is>
      </c>
      <c r="G27" s="2" t="inlineStr">
        <is>
          <t>- 판단기준상 '양호'는 외부 통신이 필요한 목적이 확인된 리소스가 NAT 게이트웨이에 연결된 경우이나, 점검내용에는 nat-12f77a5b0929a43d8 가 route_ref=rtb-0cf1ad215a789467f, rtb-03bc132ce89d11709 두 라우팅 테이블에만 연결되어 있다는 사실만 존재함
- 두 라우팅 테이블(rtb-0cf1ad215a789467f, rtb-03bc132ce89d11709)에 연결된 리소스가 실제로 외부 통신이 필요한 정당한 목적의 리소스인지 식별·확인할 수 있는 근거(연결 서브넷/리소스의 용도)가 로우데이터에 전혀 없음
- 목적이 확인되지 않은 리소스가 NAT 게이트웨이에 연결되어 있는 상태이며, 증적 부족·확인 불가 시 보수적으로 판정하는 기준에 따라 '취약'으로 판단함</t>
        </is>
      </c>
      <c r="H27" s="2" t="inlineStr">
        <is>
          <t>용도 미확인 NAT 게이트웨이 연결 제거</t>
        </is>
      </c>
    </row>
    <row r="28">
      <c r="B28" s="23" t="n"/>
      <c r="C28" s="14" t="inlineStr">
        <is>
          <t>3.7</t>
        </is>
      </c>
      <c r="D28" s="2" t="inlineStr">
        <is>
          <t>S3 버킷/객체 접근 관리</t>
        </is>
      </c>
      <c r="E28" s="2" t="inlineStr">
        <is>
          <t>양호 : 퍼블릭 액세스 차단이 설정되어 있거나, 퍼블릭 액세스를 허용할 경우 ACL을 버킷 소유자에게만 설정하고 있을 경우
취약 : 퍼블릭 액세스 차단이 설정되어 있지 않고, ACL이 모든 사람, 외부계정 소유자로 설정하고 있을 경우</t>
        </is>
      </c>
      <c r="F28" s="15" t="inlineStr">
        <is>
          <t>취약</t>
        </is>
      </c>
      <c r="G28" s="2" t="inlineStr">
        <is>
          <t>- 판단기준의 '취약' 조건은 퍼블릭 액세스 차단이 설정되어 있지 않은 경우이며, 점검내용의 's3-checkbang-files: PublicAccessBlock=[False, False, False, False]' 라인이 4개 차단 옵션 모두 False(미설정)로 이에 정확히 대응한다.
- 점검내용 마지막 라인 '# 퍼블릭 차단 미흡: s3-checkbang-files'에서 해당 버킷의 퍼블릭 액세스 차단 미흡이 명시적으로 식별되었다.
- 일부 대상(checkbang-cloudtrail-s3: PublicAccessBlock=[True, True, True, True])은 차단이 모두 설정되어 양호하나, 하나라도 미흡 대상이 존재하면 전체 항목은 보수적으로 '취약'으로 판정한다.</t>
        </is>
      </c>
      <c r="H28" s="2" t="inlineStr">
        <is>
          <t>S3 버킷 퍼블릭 액세스 차단 설정</t>
        </is>
      </c>
    </row>
    <row r="29">
      <c r="B29" s="23" t="n"/>
      <c r="C29" s="14" t="inlineStr">
        <is>
          <t>3.8</t>
        </is>
      </c>
      <c r="D29" s="2" t="inlineStr">
        <is>
          <t>RDS 서브넷 가용 영역 관리</t>
        </is>
      </c>
      <c r="E29" s="2" t="inlineStr">
        <is>
          <t>양호 : RDS 서브넷 그룹 내 불필요한 가용영역이 존재하지 않는 경우
취약 : RDS 서브넷 그룹 내 불필요한 가용영역이 존재하는 경우</t>
        </is>
      </c>
      <c r="F29" s="17" t="inlineStr">
        <is>
          <t>양호</t>
        </is>
      </c>
      <c r="G29" s="2" t="inlineStr">
        <is>
          <t>- 판단기준은 'RDS 서브넷 그룹 내 불필요한 가용영역 존재 여부'를 점검하는 항목이나, 점검내용(로우데이터)에 'RDS 인스턴스 없음'으로 확인됨
- 진단대상에 RDS 인스턴스가 전혀 존재하지 않으므로 서브넷 그룹/가용영역 점검 대상 자체가 부재함
- 점검 대상이 존재하지 않는 경우에 해당하여 N/A로 판정함</t>
        </is>
      </c>
      <c r="H29" s="2" t="inlineStr"/>
    </row>
    <row r="30">
      <c r="B30" s="23" t="n"/>
      <c r="C30" s="14" t="inlineStr">
        <is>
          <t>3.9</t>
        </is>
      </c>
      <c r="D30" s="2" t="inlineStr">
        <is>
          <t>EKS Pod 보안 정책 관리</t>
        </is>
      </c>
      <c r="E30" s="2" t="inlineStr">
        <is>
          <t>양호 : PSS Profile Baseline 및 PSA Audit 이상 설정을 적용해 사용하는 경우
취약 : PSS 및 PSA 설정을 적용하여 사용하지 않거나 PSS Profile Privileged 및 PSA warn 설정을 적용해 사용하는 경우</t>
        </is>
      </c>
      <c r="F30" s="18" t="inlineStr">
        <is>
          <t>N/A</t>
        </is>
      </c>
      <c r="G30" s="2" t="inlineStr">
        <is>
          <t>- 판단기준은 EKS 클러스터에 대해 PSS Profile(Baseline 등) 및 PSA(Audit 이상) 설정 적용 여부를 점검하는 항목임
- 점검내용(로우데이터) '에 따르면 'EKS 클러스터 없음 — 진단 대상 아님'으로, 점검 대상이 되는 EKS 클러스터 자체가 존재하지 않음
- 점검 대상(EKS 클러스터)이 부재하여 PSS/PSA 설정을 적용할 대상이 없으므로, 본 항목은 진단 대상이 아닌 N/A로 판정함</t>
        </is>
      </c>
      <c r="H30" s="2" t="inlineStr"/>
    </row>
    <row r="31">
      <c r="B31" s="22" t="n"/>
      <c r="C31" s="14" t="inlineStr">
        <is>
          <t>3.10</t>
        </is>
      </c>
      <c r="D31" s="2" t="inlineStr">
        <is>
          <t>ELB(Elastic Load Balancing) 연결 관리</t>
        </is>
      </c>
      <c r="E31" s="2" t="inlineStr">
        <is>
          <t>양호 : ELB 제어 정책을 준수하고 있는 경우
취약 : ELB 제어 정책을 준수하고 있지 않는 경우</t>
        </is>
      </c>
      <c r="F31" s="17" t="inlineStr">
        <is>
          <t>양호</t>
        </is>
      </c>
      <c r="G31" s="2" t="inlineStr">
        <is>
          <t>- 판단기준은 ELB(로드밸런서)의 제어 정책 준수 여부를 점검하는 항목임
- 점검내용(로우데이터)에 '로드밸런서 없음 — 해당 없음'으로 명시되어 있어, 점검 대상이 되는 ELB 리소스가 존재하지 않음
- 점검 대상 자체가 존재하지 않으므로 양호/취약 판정 대상이 아니며, 점검 대상이 아닐 때에 해당하여 N/A로 판정함</t>
        </is>
      </c>
      <c r="H31" s="2" t="inlineStr"/>
    </row>
    <row r="32">
      <c r="B32" s="9" t="inlineStr">
        <is>
          <t>운영 관리</t>
        </is>
      </c>
      <c r="C32" s="14" t="inlineStr">
        <is>
          <t>4.1</t>
        </is>
      </c>
      <c r="D32" s="2" t="inlineStr">
        <is>
          <t>EBS 및 볼륨 암호화 설정</t>
        </is>
      </c>
      <c r="E32" s="2" t="inlineStr">
        <is>
          <t>양호 : EBS 및 볼륨 리소스에 암호화가 활성화되어 있을 경우
취약 : EBS 및 볼륨 리소스에 암호화가 비활성화되어 있을 경우</t>
        </is>
      </c>
      <c r="F32" s="17" t="inlineStr">
        <is>
          <t>양호</t>
        </is>
      </c>
      <c r="G32" s="2" t="inlineStr">
        <is>
          <t>- 판단기준의 '양호' 조건은 EBS 및 볼륨 리소스에 암호화가 활성화(Encrypted=True)되어 있을 경우임
- 점검내용의 모든 볼륨이 암호화 활성 상태임: vol-007773478a42dda3f → Encrypted=True, vol-0f58c14279b84a3e9 → Encrypted=True, vol-0eefb33bc78c27330 → Encrypted=True, vol-0588da865f55ef50d → Encrypted=True
- 4개 볼륨 전체가 Encrypted=True 로, Encrypted=False(미암호화) 이상치가 존재하지 않으므로 양호로 판정함</t>
        </is>
      </c>
      <c r="H32" s="2" t="inlineStr"/>
    </row>
    <row r="33">
      <c r="B33" s="23" t="n"/>
      <c r="C33" s="14" t="inlineStr">
        <is>
          <t>4.2</t>
        </is>
      </c>
      <c r="D33" s="2" t="inlineStr">
        <is>
          <t>RDS 암호화 설정</t>
        </is>
      </c>
      <c r="E33" s="2" t="inlineStr">
        <is>
          <t>양호 : RDS 데이터베이스 암호화가 활성화되어 있을 경우
취약 : RDS 데이터베이스 암호화가 비활성화되어 있을 경우</t>
        </is>
      </c>
      <c r="F33" s="17" t="inlineStr">
        <is>
          <t>양호</t>
        </is>
      </c>
      <c r="G33" s="2" t="inlineStr">
        <is>
          <t>(판단 근거 없음)</t>
        </is>
      </c>
      <c r="H33" s="2" t="inlineStr">
        <is>
          <t>RDS 데이터베이스 암호화 활성화</t>
        </is>
      </c>
    </row>
    <row r="34">
      <c r="B34" s="23" t="n"/>
      <c r="C34" s="14" t="inlineStr">
        <is>
          <t>4.3</t>
        </is>
      </c>
      <c r="D34" s="2" t="inlineStr">
        <is>
          <t>S3 암호화 설정</t>
        </is>
      </c>
      <c r="E34" s="2" t="inlineStr">
        <is>
          <t>양호 : Amazon S3 키(SSE-S3)로 서버 측 암호화 사용 또는 SSE-KMS로 서버 측 암호화가 설정되어 있을 경우
취약 : Amazon S3 키(SSE-S3)로 서버 측 암호화 사용 또는 SSE-KMS 로 서버 측 암호화가 설정되어 있지 않을 경우</t>
        </is>
      </c>
      <c r="F34" s="17" t="inlineStr">
        <is>
          <t>양호</t>
        </is>
      </c>
      <c r="G34" s="2" t="inlineStr">
        <is>
          <t>- 판단기준의 '양호: Amazon S3 키(SSE-S3) 또는 SSE-KMS로 서버 측 암호화가 설정' 조건과 점검내용의 `checkbang-cloudtrail-s3: SSEAlgorithm=AES256` 라인이 대응 — AES256은 SSE-S3(Amazon S3 관리형 키) 방식의 서버 측 암호화이므로 설정됨
- `s3-checkbang-files: SSEAlgorithm=AES256` 라인 역시 동일하게 SSE-S3(AES256) 서버 측 암호화가 적용되어 있음 — 점검 대상 버킷 모두 암호화 설정 확인
- 두 점검 대상 모두 SSEAlgorithm 값이 존재하며 미설정(암호화 없음) 항목이 발견되지 않아 의심·이상치 없음</t>
        </is>
      </c>
      <c r="H34" s="2" t="inlineStr"/>
    </row>
    <row r="35">
      <c r="B35" s="23" t="n"/>
      <c r="C35" s="14" t="inlineStr">
        <is>
          <t>4.4</t>
        </is>
      </c>
      <c r="D35" s="2" t="inlineStr">
        <is>
          <t>통신구간 암호화 설정</t>
        </is>
      </c>
      <c r="E35" s="2" t="inlineStr">
        <is>
          <t>양호 : 클라우드 리소스 통신 구간 내 암호화 설정이 되어 있는 경우
취약 : 클라우드 리소스 통신 구간 내 암호화 설정이 되어 있지 않는 경우</t>
        </is>
      </c>
      <c r="F35" s="18" t="inlineStr">
        <is>
          <t>N/A</t>
        </is>
      </c>
      <c r="G35" s="2" t="inlineStr">
        <is>
          <t>- 판단기준은 '클라우드 리소스 통신 구간 내 암호화(TLS) 설정 여부'를 ELBv2 리스너 기준으로 점검하는 항목임
- 점검내용(로우데이터)에 '로드밸런서/리스너 없음'으로 명시되어 있어, 본 항목의 점검 대상인 로드밸런서/리스너 리소스 자체가 존재하지 않음
- 점검 대상 리소스가 부재하여 ELBv2 describe-listeners 기준으로 양호/취약을 판정할 대상이 없으므로 N/A로 판정함
- 다만 로우데이터에 '리소스 간 TLS 적용 여부 수동 확인' 안내가 있는 만큼, ELB 외 다른 통신 구간(EC2 간, RDS 등)의 암호화 적용 여부는 별도 수동 점검이 필요함</t>
        </is>
      </c>
      <c r="H35" s="2" t="inlineStr"/>
    </row>
    <row r="36">
      <c r="B36" s="23" t="n"/>
      <c r="C36" s="14" t="inlineStr">
        <is>
          <t>4.5</t>
        </is>
      </c>
      <c r="D36" s="2" t="inlineStr">
        <is>
          <t>CloudTrail 암호화 설정</t>
        </is>
      </c>
      <c r="E36" s="2" t="inlineStr">
        <is>
          <t>양호 : CloudTrail 관련 로그 파일에 SSE-KMS 암호화 설정이 되어있을 경우
취약 : CloudTrail 관련 로그 파일에 SSE-KMS 암호화 설정이 되어있지 않을 경우</t>
        </is>
      </c>
      <c r="F36" s="17" t="inlineStr">
        <is>
          <t>양호</t>
        </is>
      </c>
      <c r="G36" s="2" t="inlineStr">
        <is>
          <t>- 판단기준의 '양호' 조건은 CloudTrail 로그 파일에 SSE-KMS 암호화가 설정되어 있는 경우이다.
- 점검내용 라인 'management-events  KmsKeyId=arn:aws:kms:us-east-1:XXXXXXXXXXXX:key/c2e8fed8-1bac-4973-b82a-b57b6b13756b' 에서 KmsKeyId 값으로 KMS 키 ARN이 지정되어 있어 SSE-KMS 암호화가 적용되어 있음을 확인하였다.
- KmsKeyId가 비어있지 않고 유효한 KMS 키 ARN으로 채워져 있으므로 암호화 미설정(취약) 조건에 해당하지 않는다.</t>
        </is>
      </c>
      <c r="H36" s="2" t="inlineStr"/>
    </row>
    <row r="37">
      <c r="B37" s="23" t="n"/>
      <c r="C37" s="14" t="inlineStr">
        <is>
          <t>4.6</t>
        </is>
      </c>
      <c r="D37" s="2" t="inlineStr">
        <is>
          <t>CloudWatch 암호화 설정</t>
        </is>
      </c>
      <c r="E37" s="2" t="inlineStr">
        <is>
          <t>양호 : 로그 그룹 생성 시 "KMS key ARN" 을 설정하여 사용하고 있는 경우
취약 : 로그 그룹 생성 시 "KMS key ARN" 을 설정하여 사용하고 있지 않는 경우</t>
        </is>
      </c>
      <c r="F37" s="17" t="inlineStr">
        <is>
          <t>양호</t>
        </is>
      </c>
      <c r="G37" s="2" t="inlineStr">
        <is>
          <t>- 판단기준은 로그 그룹 생성 시 "KMS key ARN" 을 설정하여 사용 중이면 양호로 판정함
- 점검내용의 로그 그룹 `/aws/lambda/Lambda-SK` 라인에 kmsKeyId=arn:aws:kms:us-east-1:XXXXXXXXXXXX:key/c2e8fed8-1bac-4973-b82a-b57b6b13756b 로 KMS key ARN 이 설정되어 있음
- 점검내용의 로그 그룹 `aws-cloudtrail-logs-XXXXXXXXXXXX-c2e02031` 라인에도 kmsKeyId=arn:aws:kms:us-east-1:XXXXXXXXXXXX:key/c2e8fed8-1bac-4973-b82a-b57b6b13756b 로 KMS key ARN 이 설정되어 있음
- 열거된 모든 로그 그룹(2개)에 KMS key ARN 이 빠짐없이 설정되어 있어 KMS key ARN 미설정(빈 값) 이상치가 없음</t>
        </is>
      </c>
      <c r="H37" s="2" t="inlineStr"/>
    </row>
    <row r="38">
      <c r="B38" s="23" t="n"/>
      <c r="C38" s="14" t="inlineStr">
        <is>
          <t>4.7</t>
        </is>
      </c>
      <c r="D38" s="2" t="inlineStr">
        <is>
          <t>AWS 사용자 계정 로깅 설정</t>
        </is>
      </c>
      <c r="E38" s="2" t="inlineStr">
        <is>
          <t>양호 : AWS 사용자 계정(Console, IAM)의 로깅이 설정되어 있는 경우
취약 : AWS 사용자 계정(Console, IAM)의 로깅이 설정되어 있지 않은 경우</t>
        </is>
      </c>
      <c r="F38" s="17" t="inlineStr">
        <is>
          <t>양호</t>
        </is>
      </c>
      <c r="G38" s="2" t="inlineStr">
        <is>
          <t>- 판단기준의 '양호' 조건은 AWS 사용자 계정(Console, IAM)의 로깅이 설정되어 있는 경우이며, CloudTrail이 활성화되어 사용자 계정 활동(management-events)이 기록되어야 함
- 점검내용 라인 'management-events: IsLogging=True'에서 트레일의 로깅 상태가 활성화(True)되어 있어, 사용자 계정의 콘솔/IAM 활동에 대한 관리 이벤트 로깅이 동작 중임을 확인함
- 'IsMultiRegionTrail=true' 값으로 다중 리전 트레일이 구성되어 있어 전 리전의 사용자 계정 활동이 누락 없이 로깅됨을 확인함
- 로깅이 설정·동작(IsLogging=True) 중이므로 '취약' 조건(로깅 미설정)에 해당하지 않아 양호로 판정함</t>
        </is>
      </c>
      <c r="H38" s="2" t="inlineStr"/>
    </row>
    <row r="39">
      <c r="B39" s="23" t="n"/>
      <c r="C39" s="14" t="inlineStr">
        <is>
          <t>4.8</t>
        </is>
      </c>
      <c r="D39" s="2" t="inlineStr">
        <is>
          <t>인스턴스 로깅 설정</t>
        </is>
      </c>
      <c r="E39" s="2" t="inlineStr">
        <is>
          <t>양호 : CloudWatch 로그 스트림으로 보관하고 있는 경우
취약 : CloudWatch 로그 스트림으로 보관하고 있지 않은 경우</t>
        </is>
      </c>
      <c r="F39" s="18" t="inlineStr">
        <is>
          <t>N/A</t>
        </is>
      </c>
      <c r="G39" s="2" t="inlineStr">
        <is>
          <t>- 판단기준의 '양호' 조건은 CloudWatch 로그 스트림으로 인스턴스 로그를 보관하고 있는 경우인데, 점검내용의 4개 인스턴스(i-0ba33b7fc769a3a76, i-0d147333acd730048, i-0de7a456322d695c3, i-09f792e70c21d2ea9) 모두 '매칭 로그 스트림 없음'으로 확인되어 보관 사실이 확인되지 않음
- 점검내용 하단 주석에 '스트림명이 instance-id가 아닐 수 있어 에이전트 구성 수동 확인 필요'라고 명시되어, 실제 CloudWatch 로그 스트림 보관 여부가 증적으로 입증되지 않음(확인 불가 상태)
- 증적 부족·확인 불가 시 보수적으로 '취약'으로 판정하는 원칙에 따라, 4개 인스턴스 전부 로그 스트림 매칭이 확인되지 않으므로 '취약'으로 판정함</t>
        </is>
      </c>
      <c r="H39" s="2" t="inlineStr">
        <is>
          <t>EC2 인스턴스 로그 CloudWatch 수집·보관 설정</t>
        </is>
      </c>
    </row>
    <row r="40">
      <c r="B40" s="23" t="n"/>
      <c r="C40" s="14" t="inlineStr">
        <is>
          <t>4.9</t>
        </is>
      </c>
      <c r="D40" s="2" t="inlineStr">
        <is>
          <t>RDS 로깅 설정</t>
        </is>
      </c>
      <c r="E40" s="2" t="inlineStr">
        <is>
          <t>양호 : CloudWatch 로그 스트림으로 보관하고 있는 경우
취약 : CloudWatch 로그 스트림으로 보관하고 있지 않은 경우</t>
        </is>
      </c>
      <c r="F40" s="17" t="inlineStr">
        <is>
          <t>양호</t>
        </is>
      </c>
      <c r="G40" s="2" t="inlineStr">
        <is>
          <t>- 판단기준은 RDS 인스턴스의 로그를 CloudWatch 로그 스트림으로 보관하는지를 점검하나, 점검내용(로우데이터)에 'RDS 없음 — 해당 없음'으로 진단대상 환경에 RDS 인스턴스가 존재하지 않음이 명시됨
- RDS 인스턴스가 없으므로 로깅 설정을 점검할 대상 자체가 부재하여, 본 항목은 점검 대상이 아님(N/A 사유에 부합)
- 증적 부족이나 확인 불가가 아니라 '점검 대상 부재'가 원시 라인으로 확정되므로 취약이 아닌 N/A로 판정</t>
        </is>
      </c>
      <c r="H40" s="2" t="inlineStr"/>
    </row>
    <row r="41">
      <c r="B41" s="23" t="n"/>
      <c r="C41" s="14" t="inlineStr">
        <is>
          <t>4.10</t>
        </is>
      </c>
      <c r="D41" s="2" t="inlineStr">
        <is>
          <t>S3 버킷 로깅 설정</t>
        </is>
      </c>
      <c r="E41" s="2" t="inlineStr">
        <is>
          <t>양호 : 로그를 보관하고 있는 버킷의 "서버 액세스 로깅"이 설정되어 있는 경우
취약 : 로그를 보관하고 있는 버킷의 "서버 액세스 로깅"이 설정되어 있지 않은 경우</t>
        </is>
      </c>
      <c r="F41" s="15" t="inlineStr">
        <is>
          <t>취약</t>
        </is>
      </c>
      <c r="G41" s="2" t="inlineStr">
        <is>
          <t>- 판단기준은 '로그를 보관하는 버킷의 서버 액세스 로깅이 설정되어 있어야 양호'이며, 미설정 시 취약으로 규정한다.
- 점검내용 라인 'checkbang-cloudtrail-s3: ServerAccessLogging.TargetBucket=checkbang-cloudtrail-s3'은 액세스 로깅 대상 버킷이 지정되어 있어 양호한 상태이다.
- 그러나 점검내용 라인 's3-checkbang-files: ServerAccessLogging.TargetBucket=None'은 서버 액세스 로깅 대상 버킷이 None(미지정)으로, 액세스 로깅이 설정되어 있지 않은 이상치 버킷이다.
- 또한 로우데이터 주석 '# 액세스 로깅 미설정: s3-checkbang-files'가 미설정 사실을 명시적으로 확인해 준다.
- 하나라도 액세스 로깅 미설정 버킷(s3-checkbang-files)이 존재하므로 보수적으로 '취약'으로 판정한다.</t>
        </is>
      </c>
      <c r="H41" s="2" t="inlineStr">
        <is>
          <t>S3 버킷 서버 액세스 로깅 설정</t>
        </is>
      </c>
    </row>
    <row r="42">
      <c r="B42" s="23" t="n"/>
      <c r="C42" s="14" t="inlineStr">
        <is>
          <t>4.11</t>
        </is>
      </c>
      <c r="D42" s="2" t="inlineStr">
        <is>
          <t>VPC 플로우 로깅 설정</t>
        </is>
      </c>
      <c r="E42" s="2" t="inlineStr">
        <is>
          <t>양호 : VPC 플로우 로그 설정이 존재하는 경우
취약 : VPC 플로우 로그 설정이 존재하지 않을 경우</t>
        </is>
      </c>
      <c r="F42" s="17" t="inlineStr">
        <is>
          <t>양호</t>
        </is>
      </c>
      <c r="G42" s="2" t="inlineStr">
        <is>
          <t>- 판단기준: VPC 플로우 로그 설정이 존재하면 양호, 존재하지 않으면 취약
- 점검내용 라인 'vpc-052f63d86558e6aac: FlowLogId=fl-0163ff4633c2e016a' 에서 대상 VPC에 FlowLogId(fl-0163ff4633c2e016a)가 할당되어 플로우 로그 설정이 존재함이 확인됨
- 따라서 VPC 플로우 로깅이 활성화되어 있어 양호로 판정</t>
        </is>
      </c>
      <c r="H42" s="2" t="inlineStr"/>
    </row>
    <row r="43">
      <c r="B43" s="23" t="n"/>
      <c r="C43" s="14" t="inlineStr">
        <is>
          <t>4.12</t>
        </is>
      </c>
      <c r="D43" s="2" t="inlineStr">
        <is>
          <t>로그 보관 기간 설정</t>
        </is>
      </c>
      <c r="E43" s="2" t="inlineStr">
        <is>
          <t>양호 : AWS 서비스 로그를 기준(최소 1년 이상)에 맞게 보관하고 있는 경우
취약 : AWS 서비스 로그를 기준(최소 1년 이상)에 맞게 보관하고 있지 않은 경우</t>
        </is>
      </c>
      <c r="F43" s="17" t="inlineStr">
        <is>
          <t>양호</t>
        </is>
      </c>
      <c r="G43" s="2" t="inlineStr">
        <is>
          <t>- 판단기준은 AWS 서비스 로그를 최소 1년(365일) 이상 보관하면 양호로 판정함
- 점검내용에서 aws-cloudtrail-logs-XXXXXXXXXXXX-c2e02031 로그 그룹의 retentionInDays=365 로 설정되어 있어 정확히 1년(365일) 이상 보관 기준을 충족함
- 보관 기간 미설정(무기한이나 1년 미만) 등 기준 미달 항목이 없으므로 양호로 판정함</t>
        </is>
      </c>
      <c r="H43" s="2" t="inlineStr"/>
    </row>
    <row r="44">
      <c r="B44" s="23" t="n"/>
      <c r="C44" s="14" t="inlineStr">
        <is>
          <t>4.13</t>
        </is>
      </c>
      <c r="D44" s="2" t="inlineStr">
        <is>
          <t>백업 사용 여부</t>
        </is>
      </c>
      <c r="E44" s="2" t="inlineStr">
        <is>
          <t>양호 : 클라우드 리소스 백업 정책이 존재하는 경우
취약 : 클라우드 리소스 백업 정책이 존재하지 않는 경우</t>
        </is>
      </c>
      <c r="F44" s="17" t="inlineStr">
        <is>
          <t>양호</t>
        </is>
      </c>
      <c r="G44" s="2" t="inlineStr">
        <is>
          <t>- 판단기준의 '양호: 클라우드 리소스 백업 정책이 존재하는 경우'에 해당한다.
- 점검내용(로우데이터)의 'Checkbang-Backup  id=d10ee4f8-bf3e-4c71-a0b1-8873d74a4772' 라인에서 AWS Backup Plan이 실제로 1개 존재함을 확인하였다.
- 백업 정책(Backup Plan)이 존재하므로 클라우드 리소스에 대한 백업 정책이 구성된 상태로 판단된다.</t>
        </is>
      </c>
      <c r="H44" s="2" t="inlineStr"/>
    </row>
    <row r="45">
      <c r="B45" s="23" t="n"/>
      <c r="C45" s="14" t="inlineStr">
        <is>
          <t>4.14</t>
        </is>
      </c>
      <c r="D45" s="2" t="inlineStr">
        <is>
          <t>EKS Cluster 제어 플레인 로깅 설정</t>
        </is>
      </c>
      <c r="E45" s="2" t="inlineStr">
        <is>
          <t>양호 : EKS Cluster 제어 플레인 로깅을 설정하여 유형 별 로그를 기록하고 있는 경우
취약 : EKS Cluster의 유형 별 로그를 기록하고 있지 않는 경우</t>
        </is>
      </c>
      <c r="F45" s="18" t="inlineStr">
        <is>
          <t>N/A</t>
        </is>
      </c>
      <c r="G45" s="2" t="inlineStr">
        <is>
          <t>- 점검항목 4.14는 AWS EKS Cluster의 제어 플레인 로깅 설정을 점검하는 항목이나, 점검내용(로우데이터)에 'EKS 클러스터 없음 — 진단 대상 아님'으로 명시되어 있음
- 진단 대상에 EKS 클러스터 자체가 존재하지 않으므로 로깅 설정의 양호/취약을 판정할 대상이 없음(점검 대상 아님)
- 따라서 N/A 사유(해당 진단대상의 점검 대상이 아님)에 정확히 부합하여 N/A로 판정함</t>
        </is>
      </c>
      <c r="H45" s="2" t="inlineStr"/>
    </row>
    <row r="46">
      <c r="B46" s="22" t="n"/>
      <c r="C46" s="14" t="inlineStr">
        <is>
          <t>4.15</t>
        </is>
      </c>
      <c r="D46" s="2" t="inlineStr">
        <is>
          <t>EKS Cluster 암호화 설정</t>
        </is>
      </c>
      <c r="E46" s="2" t="inlineStr">
        <is>
          <t>양호 : 암호 암호화가 활성화 되어있는 경우
취약 : 암호 암호화가 활성화 되어있지 않는 경우</t>
        </is>
      </c>
      <c r="F46" s="18" t="inlineStr">
        <is>
          <t>N/A</t>
        </is>
      </c>
      <c r="G46" s="2" t="inlineStr">
        <is>
          <t>- 점검항목 4.15는 EKS Cluster의 암호 암호화 활성화 여부(양호/취약)를 점검하는 항목이나, 점검내용(로우데이터)에 'EKS 클러스터 없음 — 진단 대상 아님'으로 명시됨
- 점검파일 'eks list-clusters' 결과 진단 대상이 되는 EKS 클러스터가 존재하지 않으므로, 암호화 설정 여부를 판정할 대상 자체가 없음
- 증적 부족이 아닌 '점검 대상 부재'에 해당하므로 N/A로 판정 (취약 판정 대상이 존재하지 않음)</t>
        </is>
      </c>
      <c r="H46" s="2" t="inlineStr"/>
    </row>
  </sheetData>
  <mergeCells count="12">
    <mergeCell ref="H3:H5"/>
    <mergeCell ref="C3:C5"/>
    <mergeCell ref="G3:G5"/>
    <mergeCell ref="E3:E5"/>
    <mergeCell ref="B2:H2"/>
    <mergeCell ref="F3:F5"/>
    <mergeCell ref="D3:D5"/>
    <mergeCell ref="B3:B5"/>
    <mergeCell ref="B19:B21"/>
    <mergeCell ref="B6:B18"/>
    <mergeCell ref="B22:B31"/>
    <mergeCell ref="B32:B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2026-06-29T06:24:59Z</dcterms:created>
  <dcterms:modified xmlns:dcterms="http://purl.org/dc/terms/" xmlns:xsi="http://www.w3.org/2001/XMLSchema-instance" xsi:type="dcterms:W3CDTF">2026-07-14T11:02:25Z</dcterms:modified>
</cp:coreProperties>
</file>