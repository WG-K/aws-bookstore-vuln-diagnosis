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표지" sheetId="1" state="visible" r:id="rId1"/>
    <sheet name="1. 진단 대상" sheetId="2" state="visible" r:id="rId2"/>
    <sheet name="2-1. 요약결과(그래프)" sheetId="3" state="visible" r:id="rId3"/>
    <sheet name="2-2. 요약 진단결과" sheetId="4" state="visible" r:id="rId4"/>
    <sheet name="3-1. 진단 결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</font>
    <font>
      <b val="1"/>
      <sz val="28"/>
    </font>
    <font>
      <b val="1"/>
      <sz val="16"/>
    </font>
    <font>
      <sz val="12"/>
    </font>
    <font>
      <b val="1"/>
      <color rgb="00FFFFFF"/>
    </font>
    <font>
      <b val="1"/>
      <sz val="12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ED9C4"/>
      </patternFill>
    </fill>
    <fill>
      <patternFill patternType="solid">
        <fgColor rgb="00FCE4E4"/>
      </patternFill>
    </fill>
    <fill>
      <patternFill patternType="solid">
        <fgColor rgb="00EDEDED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plotArea>
      <radarChart>
        <radarStyle val="standard"/>
        <ser>
          <idx val="0"/>
          <order val="0"/>
          <tx>
            <strRef>
              <f>'2-1. 요약결과(그래프)'!C4</f>
            </strRef>
          </tx>
          <spPr>
            <a:ln w="28575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'2-1. 요약결과(그래프)'!$B$5:$B$8</f>
            </numRef>
          </cat>
          <val>
            <numRef>
              <f>'2-1. 요약결과(그래프)'!$C$5:$C$8</f>
            </numRef>
          </val>
        </ser>
        <axId val="10"/>
        <axId val="100"/>
      </rad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%" sourceLinked="0"/>
        <majorTickMark val="none"/>
        <minorTickMark val="none"/>
        <txPr>
          <a:bodyPr/>
          <a:p>
            <a:pPr>
              <a:defRPr sz="900">
                <a:solidFill>
                  <a:srgbClr val="BFBFBF"/>
                </a:solidFill>
              </a:defRPr>
            </a:pPr>
            <a:r>
              <a:t/>
            </a:r>
            <a:endParaRPr sz="900">
              <a:solidFill>
                <a:srgbClr val="BFBFBF"/>
              </a:solidFill>
            </a:endParaRPr>
          </a:p>
        </txPr>
        <crossAx val="10"/>
        <majorUnit val="0.2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ayout>
        <manualLayout>
          <xMode val="edge"/>
          <yMode val="edge"/>
          <wMode val="factor"/>
          <hMode val="factor"/>
          <x val="0.22"/>
          <y val="0.06"/>
          <w val="0.5600000000000001"/>
          <h val="0.72"/>
        </manualLayout>
      </layout>
      <pieChart>
        <varyColors val="1"/>
        <ser>
          <idx val="0"/>
          <order val="0"/>
          <tx>
            <strRef>
              <f>'2-1. 요약결과(그래프)'!C27</f>
            </strRef>
          </tx>
          <spPr>
            <a:ln>
              <a:prstDash val="solid"/>
            </a:ln>
          </spPr>
          <cat>
            <numRef>
              <f>'2-1. 요약결과(그래프)'!$B$28:$B$30</f>
            </numRef>
          </cat>
          <val>
            <numRef>
              <f>'2-1. 요약결과(그래프)'!$C$28:$C$30</f>
            </numRef>
          </val>
        </ser>
        <firstSliceAng val="0"/>
      </pieChart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varyColors val="1"/>
        <ser>
          <idx val="0"/>
          <order val="0"/>
          <tx>
            <strRef>
              <f>'2-1. 요약결과(그래프)'!C50</f>
            </strRef>
          </tx>
          <spPr>
            <a:ln>
              <a:prstDash val="solid"/>
            </a:ln>
          </spPr>
          <cat>
            <numRef>
              <f>'2-1. 요약결과(그래프)'!$B$51:$B$54</f>
            </numRef>
          </cat>
          <val>
            <numRef>
              <f>'2-1. 요약결과(그래프)'!$C$51:$C$54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5</col>
      <colOff>0</colOff>
      <row>3</row>
      <rowOff>0</rowOff>
    </from>
    <to>
      <col>11</col>
      <colOff>0</colOff>
      <row>22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5</col>
      <colOff>0</colOff>
      <row>26</row>
      <rowOff>0</rowOff>
    </from>
    <to>
      <col>11</col>
      <colOff>0</colOff>
      <row>45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5</col>
      <colOff>0</colOff>
      <row>49</row>
      <rowOff>0</rowOff>
    </from>
    <to>
      <col>11</col>
      <colOff>0</colOff>
      <row>68</row>
      <rowOff>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L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3" customWidth="1" min="11" max="11"/>
    <col width="30" customWidth="1" min="12" max="12"/>
  </cols>
  <sheetData>
    <row r="3" ht="22" customHeight="1">
      <c r="K3" s="1" t="inlineStr">
        <is>
          <t>문서번호</t>
        </is>
      </c>
      <c r="L3" s="2" t="inlineStr">
        <is>
          <t>CHECKBANG-VA-2026-001</t>
        </is>
      </c>
    </row>
    <row r="4" ht="22" customHeight="1">
      <c r="K4" s="1" t="inlineStr">
        <is>
          <t>작성자</t>
        </is>
      </c>
      <c r="L4" s="2" t="inlineStr">
        <is>
          <t>취약점진단팀</t>
        </is>
      </c>
    </row>
    <row r="5" ht="22" customHeight="1">
      <c r="K5" s="1" t="inlineStr">
        <is>
          <t>보안등급</t>
        </is>
      </c>
      <c r="L5" s="2" t="inlineStr">
        <is>
          <t>Confidential</t>
        </is>
      </c>
    </row>
    <row r="6" ht="22" customHeight="1">
      <c r="K6" s="1" t="inlineStr">
        <is>
          <t>Ver</t>
        </is>
      </c>
      <c r="L6" s="2" t="inlineStr">
        <is>
          <t>ver 1.0</t>
        </is>
      </c>
    </row>
    <row r="11" ht="40" customHeight="1">
      <c r="B11" s="3" t="inlineStr">
        <is>
          <t>Check방 취약점 진단</t>
        </is>
      </c>
    </row>
    <row r="13" ht="30" customHeight="1">
      <c r="B13" s="4" t="inlineStr">
        <is>
          <t>취약점 진단 상세결과</t>
        </is>
      </c>
    </row>
    <row r="18">
      <c r="B18" s="5" t="inlineStr">
        <is>
          <t>2026-06-29</t>
        </is>
      </c>
    </row>
  </sheetData>
  <mergeCells count="3">
    <mergeCell ref="B13:L13"/>
    <mergeCell ref="B11:L11"/>
    <mergeCell ref="B18:L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3" customWidth="1" min="2" max="2"/>
    <col width="15" customWidth="1" min="3" max="3"/>
    <col width="12" customWidth="1" min="4" max="4"/>
    <col width="20" customWidth="1" min="5" max="5"/>
    <col width="6" customWidth="1" min="6" max="6"/>
    <col width="16" customWidth="1" min="7" max="7"/>
  </cols>
  <sheetData>
    <row r="1" ht="26" customHeight="1">
      <c r="B1" s="6" t="inlineStr">
        <is>
          <t xml:space="preserve">  ※ 진단 대상 리스트</t>
        </is>
      </c>
    </row>
    <row r="2">
      <c r="B2" s="7" t="inlineStr">
        <is>
          <t>순번</t>
        </is>
      </c>
      <c r="C2" s="7" t="inlineStr">
        <is>
          <t>진단 대상</t>
        </is>
      </c>
      <c r="D2" s="8" t="n"/>
      <c r="E2" s="8" t="n"/>
      <c r="F2" s="8" t="n"/>
      <c r="G2" s="7" t="inlineStr">
        <is>
          <t>비고</t>
        </is>
      </c>
    </row>
    <row r="3">
      <c r="B3" s="8" t="n"/>
      <c r="C3" s="7" t="inlineStr">
        <is>
          <t>Hostname</t>
        </is>
      </c>
      <c r="D3" s="7" t="inlineStr">
        <is>
          <t>IP Address</t>
        </is>
      </c>
      <c r="E3" s="7" t="inlineStr">
        <is>
          <t>버전정보</t>
        </is>
      </c>
      <c r="F3" s="7" t="inlineStr">
        <is>
          <t>용도</t>
        </is>
      </c>
      <c r="G3" s="8" t="n"/>
    </row>
    <row r="4" ht="24" customHeight="1">
      <c r="B4" s="9" t="n">
        <v>1</v>
      </c>
      <c r="C4" s="9" t="inlineStr">
        <is>
          <t>ip-10-0-14-88</t>
        </is>
      </c>
      <c r="D4" s="9" t="inlineStr">
        <is>
          <t>10.0.14.88</t>
        </is>
      </c>
      <c r="E4" s="9" t="inlineStr">
        <is>
          <t>Apache 2.4.66</t>
        </is>
      </c>
      <c r="F4" s="9" t="inlineStr"/>
      <c r="G4" s="9" t="inlineStr">
        <is>
          <t>-</t>
        </is>
      </c>
    </row>
  </sheetData>
  <mergeCells count="3">
    <mergeCell ref="C2:F2"/>
    <mergeCell ref="G2:G3"/>
    <mergeCell ref="B2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5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1" customWidth="1" min="3" max="3"/>
  </cols>
  <sheetData>
    <row r="2" ht="22" customHeight="1">
      <c r="F2" s="10" t="inlineStr">
        <is>
          <t>항목별 양호 비율</t>
        </is>
      </c>
      <c r="G2" s="11" t="n"/>
      <c r="H2" s="11" t="n"/>
      <c r="I2" s="11" t="n"/>
      <c r="J2" s="11" t="n"/>
      <c r="K2" s="11" t="n"/>
    </row>
    <row r="4">
      <c r="B4" s="7" t="inlineStr">
        <is>
          <t>진단 도메인</t>
        </is>
      </c>
      <c r="C4" s="7" t="inlineStr">
        <is>
          <t>평균 점수</t>
        </is>
      </c>
    </row>
    <row r="5">
      <c r="B5" s="9" t="inlineStr">
        <is>
          <t>계정 관리</t>
        </is>
      </c>
      <c r="C5" s="12">
        <f>'2-2. 요약 진단결과'!H6</f>
        <v/>
      </c>
    </row>
    <row r="6">
      <c r="B6" s="9" t="inlineStr">
        <is>
          <t>서비스 관리</t>
        </is>
      </c>
      <c r="C6" s="12">
        <f>'2-2. 요약 진단결과'!H9</f>
        <v/>
      </c>
    </row>
    <row r="7">
      <c r="B7" s="9" t="inlineStr">
        <is>
          <t>보안 설정</t>
        </is>
      </c>
      <c r="C7" s="12">
        <f>'2-2. 요약 진단결과'!H24</f>
        <v/>
      </c>
    </row>
    <row r="8">
      <c r="B8" s="9" t="inlineStr">
        <is>
          <t>패치 및 로그 관리</t>
        </is>
      </c>
      <c r="C8" s="12">
        <f>'2-2. 요약 진단결과'!H29</f>
        <v/>
      </c>
    </row>
    <row r="25" ht="22" customHeight="1">
      <c r="F25" s="10" t="inlineStr">
        <is>
          <t>양호 / 취약 / N/A 비율</t>
        </is>
      </c>
      <c r="G25" s="11" t="n"/>
      <c r="H25" s="11" t="n"/>
      <c r="I25" s="11" t="n"/>
      <c r="J25" s="11" t="n"/>
      <c r="K25" s="11" t="n"/>
    </row>
    <row r="27">
      <c r="B27" s="7" t="inlineStr">
        <is>
          <t>상태</t>
        </is>
      </c>
      <c r="C27" s="7" t="inlineStr">
        <is>
          <t>개수</t>
        </is>
      </c>
    </row>
    <row r="28">
      <c r="B28" s="9" t="inlineStr">
        <is>
          <t>양호</t>
        </is>
      </c>
      <c r="C28" s="9">
        <f>SUM('2-2. 요약 진단결과'!J6:J31)</f>
        <v/>
      </c>
    </row>
    <row r="29">
      <c r="B29" s="9" t="inlineStr">
        <is>
          <t>취약</t>
        </is>
      </c>
      <c r="C29" s="9">
        <f>SUM('2-2. 요약 진단결과'!K6:K31)</f>
        <v/>
      </c>
    </row>
    <row r="30">
      <c r="B30" s="9" t="inlineStr">
        <is>
          <t>N/A</t>
        </is>
      </c>
      <c r="C30" s="9">
        <f>SUM('2-2. 요약 진단결과'!L6:L31)</f>
        <v/>
      </c>
    </row>
    <row r="48" ht="22" customHeight="1">
      <c r="F48" s="10" t="inlineStr">
        <is>
          <t>영역별 취약 수</t>
        </is>
      </c>
      <c r="G48" s="11" t="n"/>
      <c r="H48" s="11" t="n"/>
      <c r="I48" s="11" t="n"/>
      <c r="J48" s="11" t="n"/>
      <c r="K48" s="11" t="n"/>
    </row>
    <row r="50">
      <c r="B50" s="7" t="inlineStr">
        <is>
          <t>영역</t>
        </is>
      </c>
      <c r="C50" s="7" t="inlineStr">
        <is>
          <t>취약 수</t>
        </is>
      </c>
    </row>
    <row r="51">
      <c r="B51" s="9" t="inlineStr">
        <is>
          <t>계정 관리</t>
        </is>
      </c>
      <c r="C51" s="9">
        <f>SUM('2-2. 요약 진단결과'!K6:K8)</f>
        <v/>
      </c>
    </row>
    <row r="52">
      <c r="B52" s="9" t="inlineStr">
        <is>
          <t>서비스 관리</t>
        </is>
      </c>
      <c r="C52" s="9">
        <f>SUM('2-2. 요약 진단결과'!K9:K23)</f>
        <v/>
      </c>
    </row>
    <row r="53">
      <c r="B53" s="9" t="inlineStr">
        <is>
          <t>보안 설정</t>
        </is>
      </c>
      <c r="C53" s="9">
        <f>SUM('2-2. 요약 진단결과'!K24:K28)</f>
        <v/>
      </c>
    </row>
    <row r="54">
      <c r="B54" s="9" t="inlineStr">
        <is>
          <t>패치 및 로그 관리</t>
        </is>
      </c>
      <c r="C54" s="9">
        <f>SUM('2-2. 요약 진단결과'!K29:K31)</f>
        <v/>
      </c>
    </row>
  </sheetData>
  <mergeCells count="3">
    <mergeCell ref="F2:K2"/>
    <mergeCell ref="F25:K25"/>
    <mergeCell ref="F48:K4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5" customWidth="1" min="2" max="2"/>
    <col width="8" customWidth="1" min="3" max="3"/>
    <col width="47" customWidth="1" min="4" max="4"/>
    <col width="10" customWidth="1" min="5" max="5"/>
    <col width="13" customWidth="1" min="6" max="6"/>
    <col width="2.5" customWidth="1" min="7" max="7"/>
    <col width="12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/>
    <row r="2" ht="28" customHeight="1">
      <c r="B2" s="13" t="inlineStr">
        <is>
          <t>Check방 취약점 진단 요약 진단결과 (26항목)</t>
        </is>
      </c>
    </row>
    <row r="3">
      <c r="B3" s="7" t="inlineStr">
        <is>
          <t>진단항목</t>
        </is>
      </c>
      <c r="C3" s="7" t="inlineStr">
        <is>
          <t>No.</t>
        </is>
      </c>
      <c r="D3" s="7" t="inlineStr">
        <is>
          <t>세부 진단항목</t>
        </is>
      </c>
      <c r="E3" s="7" t="inlineStr">
        <is>
          <t>중요도</t>
        </is>
      </c>
      <c r="F3" s="7" t="inlineStr">
        <is>
          <t>진단결과</t>
        </is>
      </c>
    </row>
    <row r="4">
      <c r="B4" s="8" t="n"/>
      <c r="C4" s="8" t="n"/>
      <c r="D4" s="8" t="n"/>
      <c r="E4" s="8" t="n"/>
      <c r="F4" s="7" t="inlineStr">
        <is>
          <t>Web(Apache)</t>
        </is>
      </c>
    </row>
    <row r="5">
      <c r="B5" s="8" t="n"/>
      <c r="C5" s="8" t="n"/>
      <c r="D5" s="8" t="n"/>
      <c r="E5" s="8" t="n"/>
      <c r="F5" s="7" t="inlineStr">
        <is>
          <t>10.0.14.88</t>
        </is>
      </c>
      <c r="H5" s="7" t="inlineStr">
        <is>
          <t>영역별점수</t>
        </is>
      </c>
      <c r="I5" s="7" t="inlineStr">
        <is>
          <t>점수</t>
        </is>
      </c>
      <c r="J5" s="7" t="inlineStr">
        <is>
          <t>양호</t>
        </is>
      </c>
      <c r="K5" s="7" t="inlineStr">
        <is>
          <t>취약</t>
        </is>
      </c>
      <c r="L5" s="7" t="inlineStr">
        <is>
          <t>N/A</t>
        </is>
      </c>
    </row>
    <row r="6">
      <c r="B6" s="9" t="inlineStr">
        <is>
          <t>계정 관리</t>
        </is>
      </c>
      <c r="C6" s="14" t="inlineStr">
        <is>
          <t>WEB-01</t>
        </is>
      </c>
      <c r="D6" s="2" t="inlineStr">
        <is>
          <t>Default 관리자 계정명 변경</t>
        </is>
      </c>
      <c r="E6" s="9" t="inlineStr">
        <is>
          <t>상</t>
        </is>
      </c>
      <c r="F6" s="15" t="inlineStr">
        <is>
          <t>취약</t>
        </is>
      </c>
      <c r="H6" s="12">
        <f>IF(COUNTIF(I6:I8,"N/A")=COUNTA(I6:I8),"N/A",AVERAGE(I6:I8))</f>
        <v/>
      </c>
      <c r="I6" s="12">
        <f>IF(COUNTIF($F6:$F6,"N/A")=COUNTA($F6:$F6),"N/A",$J6/(COUNTA($F6:$F6)-$L6))</f>
        <v/>
      </c>
      <c r="J6" s="9">
        <f>COUNTIF($F6:$F6,"양호")</f>
        <v/>
      </c>
      <c r="K6" s="9">
        <f>COUNTIF($F6:$F6,"취약")</f>
        <v/>
      </c>
      <c r="L6" s="9">
        <f>COUNTIF($F6:$F6,"N/A")</f>
        <v/>
      </c>
    </row>
    <row r="7">
      <c r="B7" s="16" t="n"/>
      <c r="C7" s="14" t="inlineStr">
        <is>
          <t>WEB-02</t>
        </is>
      </c>
      <c r="D7" s="2" t="inlineStr">
        <is>
          <t>취약한 비밀번호 사용 제한</t>
        </is>
      </c>
      <c r="E7" s="9" t="inlineStr">
        <is>
          <t>상</t>
        </is>
      </c>
      <c r="F7" s="17" t="inlineStr">
        <is>
          <t>N/A</t>
        </is>
      </c>
      <c r="H7" s="16" t="n"/>
      <c r="I7" s="12">
        <f>IF(COUNTIF($F7:$F7,"N/A")=COUNTA($F7:$F7),"N/A",$J7/(COUNTA($F7:$F7)-$L7))</f>
        <v/>
      </c>
      <c r="J7" s="9">
        <f>COUNTIF($F7:$F7,"양호")</f>
        <v/>
      </c>
      <c r="K7" s="9">
        <f>COUNTIF($F7:$F7,"취약")</f>
        <v/>
      </c>
      <c r="L7" s="9">
        <f>COUNTIF($F7:$F7,"N/A")</f>
        <v/>
      </c>
    </row>
    <row r="8">
      <c r="B8" s="16" t="n"/>
      <c r="C8" s="14" t="inlineStr">
        <is>
          <t>WEB-03</t>
        </is>
      </c>
      <c r="D8" s="2" t="inlineStr">
        <is>
          <t>비밀번호 파일 권한 관리</t>
        </is>
      </c>
      <c r="E8" s="9" t="inlineStr">
        <is>
          <t>상</t>
        </is>
      </c>
      <c r="F8" s="17" t="inlineStr">
        <is>
          <t>N/A</t>
        </is>
      </c>
      <c r="H8" s="16" t="n"/>
      <c r="I8" s="12">
        <f>IF(COUNTIF($F8:$F8,"N/A")=COUNTA($F8:$F8),"N/A",$J8/(COUNTA($F8:$F8)-$L8))</f>
        <v/>
      </c>
      <c r="J8" s="9">
        <f>COUNTIF($F8:$F8,"양호")</f>
        <v/>
      </c>
      <c r="K8" s="9">
        <f>COUNTIF($F8:$F8,"취약")</f>
        <v/>
      </c>
      <c r="L8" s="9">
        <f>COUNTIF($F8:$F8,"N/A")</f>
        <v/>
      </c>
    </row>
    <row r="9">
      <c r="B9" s="9" t="inlineStr">
        <is>
          <t>서비스 관리</t>
        </is>
      </c>
      <c r="C9" s="14" t="inlineStr">
        <is>
          <t>WEB-04</t>
        </is>
      </c>
      <c r="D9" s="2" t="inlineStr">
        <is>
          <t>웹 서비스 디렉터리 리스팅 방지 설정</t>
        </is>
      </c>
      <c r="E9" s="9" t="inlineStr">
        <is>
          <t>상</t>
        </is>
      </c>
      <c r="F9" s="18" t="inlineStr">
        <is>
          <t>양호</t>
        </is>
      </c>
      <c r="H9" s="12">
        <f>IF(COUNTIF(I9:I23,"N/A")=COUNTA(I9:I23),"N/A",AVERAGE(I9:I23))</f>
        <v/>
      </c>
      <c r="I9" s="12">
        <f>IF(COUNTIF($F9:$F9,"N/A")=COUNTA($F9:$F9),"N/A",$J9/(COUNTA($F9:$F9)-$L9))</f>
        <v/>
      </c>
      <c r="J9" s="9">
        <f>COUNTIF($F9:$F9,"양호")</f>
        <v/>
      </c>
      <c r="K9" s="9">
        <f>COUNTIF($F9:$F9,"취약")</f>
        <v/>
      </c>
      <c r="L9" s="9">
        <f>COUNTIF($F9:$F9,"N/A")</f>
        <v/>
      </c>
    </row>
    <row r="10">
      <c r="B10" s="16" t="n"/>
      <c r="C10" s="14" t="inlineStr">
        <is>
          <t>WEB-05</t>
        </is>
      </c>
      <c r="D10" s="2" t="inlineStr">
        <is>
          <t>지정하지 않은 CGI/ISAPI 실행 제한</t>
        </is>
      </c>
      <c r="E10" s="9" t="inlineStr">
        <is>
          <t>상</t>
        </is>
      </c>
      <c r="F10" s="15" t="inlineStr">
        <is>
          <t>취약</t>
        </is>
      </c>
      <c r="H10" s="16" t="n"/>
      <c r="I10" s="12">
        <f>IF(COUNTIF($F10:$F10,"N/A")=COUNTA($F10:$F10),"N/A",$J10/(COUNTA($F10:$F10)-$L10))</f>
        <v/>
      </c>
      <c r="J10" s="9">
        <f>COUNTIF($F10:$F10,"양호")</f>
        <v/>
      </c>
      <c r="K10" s="9">
        <f>COUNTIF($F10:$F10,"취약")</f>
        <v/>
      </c>
      <c r="L10" s="9">
        <f>COUNTIF($F10:$F10,"N/A")</f>
        <v/>
      </c>
    </row>
    <row r="11">
      <c r="B11" s="16" t="n"/>
      <c r="C11" s="14" t="inlineStr">
        <is>
          <t>WEB-06</t>
        </is>
      </c>
      <c r="D11" s="2" t="inlineStr">
        <is>
          <t>웹 서비스 상위 디렉터리 접근 제한 설정</t>
        </is>
      </c>
      <c r="E11" s="9" t="inlineStr">
        <is>
          <t>상</t>
        </is>
      </c>
      <c r="F11" s="15" t="inlineStr">
        <is>
          <t>취약</t>
        </is>
      </c>
      <c r="H11" s="16" t="n"/>
      <c r="I11" s="12">
        <f>IF(COUNTIF($F11:$F11,"N/A")=COUNTA($F11:$F11),"N/A",$J11/(COUNTA($F11:$F11)-$L11))</f>
        <v/>
      </c>
      <c r="J11" s="9">
        <f>COUNTIF($F11:$F11,"양호")</f>
        <v/>
      </c>
      <c r="K11" s="9">
        <f>COUNTIF($F11:$F11,"취약")</f>
        <v/>
      </c>
      <c r="L11" s="9">
        <f>COUNTIF($F11:$F11,"N/A")</f>
        <v/>
      </c>
    </row>
    <row r="12">
      <c r="B12" s="16" t="n"/>
      <c r="C12" s="14" t="inlineStr">
        <is>
          <t>WEB-07</t>
        </is>
      </c>
      <c r="D12" s="2" t="inlineStr">
        <is>
          <t>웹 서비스 경로 내 불필요한 파일 제거</t>
        </is>
      </c>
      <c r="E12" s="9" t="inlineStr">
        <is>
          <t>중</t>
        </is>
      </c>
      <c r="F12" s="18" t="inlineStr">
        <is>
          <t>양호</t>
        </is>
      </c>
      <c r="H12" s="16" t="n"/>
      <c r="I12" s="12">
        <f>IF(COUNTIF($F12:$F12,"N/A")=COUNTA($F12:$F12),"N/A",$J12/(COUNTA($F12:$F12)-$L12))</f>
        <v/>
      </c>
      <c r="J12" s="9">
        <f>COUNTIF($F12:$F12,"양호")</f>
        <v/>
      </c>
      <c r="K12" s="9">
        <f>COUNTIF($F12:$F12,"취약")</f>
        <v/>
      </c>
      <c r="L12" s="9">
        <f>COUNTIF($F12:$F12,"N/A")</f>
        <v/>
      </c>
    </row>
    <row r="13">
      <c r="B13" s="16" t="n"/>
      <c r="C13" s="14" t="inlineStr">
        <is>
          <t>WEB-08</t>
        </is>
      </c>
      <c r="D13" s="2" t="inlineStr">
        <is>
          <t>웹 서비스 파일 업로드 및 다운로드 용량 제한</t>
        </is>
      </c>
      <c r="E13" s="9" t="inlineStr">
        <is>
          <t>하</t>
        </is>
      </c>
      <c r="F13" s="18" t="inlineStr">
        <is>
          <t>양호</t>
        </is>
      </c>
      <c r="H13" s="16" t="n"/>
      <c r="I13" s="12">
        <f>IF(COUNTIF($F13:$F13,"N/A")=COUNTA($F13:$F13),"N/A",$J13/(COUNTA($F13:$F13)-$L13))</f>
        <v/>
      </c>
      <c r="J13" s="9">
        <f>COUNTIF($F13:$F13,"양호")</f>
        <v/>
      </c>
      <c r="K13" s="9">
        <f>COUNTIF($F13:$F13,"취약")</f>
        <v/>
      </c>
      <c r="L13" s="9">
        <f>COUNTIF($F13:$F13,"N/A")</f>
        <v/>
      </c>
    </row>
    <row r="14">
      <c r="B14" s="16" t="n"/>
      <c r="C14" s="14" t="inlineStr">
        <is>
          <t>WEB-09</t>
        </is>
      </c>
      <c r="D14" s="2" t="inlineStr">
        <is>
          <t>웹 서비스 프로세스 권한 제한</t>
        </is>
      </c>
      <c r="E14" s="9" t="inlineStr">
        <is>
          <t>상</t>
        </is>
      </c>
      <c r="F14" s="15" t="inlineStr">
        <is>
          <t>취약</t>
        </is>
      </c>
      <c r="H14" s="16" t="n"/>
      <c r="I14" s="12">
        <f>IF(COUNTIF($F14:$F14,"N/A")=COUNTA($F14:$F14),"N/A",$J14/(COUNTA($F14:$F14)-$L14))</f>
        <v/>
      </c>
      <c r="J14" s="9">
        <f>COUNTIF($F14:$F14,"양호")</f>
        <v/>
      </c>
      <c r="K14" s="9">
        <f>COUNTIF($F14:$F14,"취약")</f>
        <v/>
      </c>
      <c r="L14" s="9">
        <f>COUNTIF($F14:$F14,"N/A")</f>
        <v/>
      </c>
    </row>
    <row r="15">
      <c r="B15" s="16" t="n"/>
      <c r="C15" s="14" t="inlineStr">
        <is>
          <t>WEB-10</t>
        </is>
      </c>
      <c r="D15" s="2" t="inlineStr">
        <is>
          <t>불필요한 프록시 설정 제한</t>
        </is>
      </c>
      <c r="E15" s="9" t="inlineStr">
        <is>
          <t>상</t>
        </is>
      </c>
      <c r="F15" s="18" t="inlineStr">
        <is>
          <t>양호</t>
        </is>
      </c>
      <c r="H15" s="16" t="n"/>
      <c r="I15" s="12">
        <f>IF(COUNTIF($F15:$F15,"N/A")=COUNTA($F15:$F15),"N/A",$J15/(COUNTA($F15:$F15)-$L15))</f>
        <v/>
      </c>
      <c r="J15" s="9">
        <f>COUNTIF($F15:$F15,"양호")</f>
        <v/>
      </c>
      <c r="K15" s="9">
        <f>COUNTIF($F15:$F15,"취약")</f>
        <v/>
      </c>
      <c r="L15" s="9">
        <f>COUNTIF($F15:$F15,"N/A")</f>
        <v/>
      </c>
    </row>
    <row r="16">
      <c r="B16" s="16" t="n"/>
      <c r="C16" s="14" t="inlineStr">
        <is>
          <t>WEB-11</t>
        </is>
      </c>
      <c r="D16" s="2" t="inlineStr">
        <is>
          <t>웹 서비스 경로 설정</t>
        </is>
      </c>
      <c r="E16" s="9" t="inlineStr">
        <is>
          <t>중</t>
        </is>
      </c>
      <c r="F16" s="15" t="inlineStr">
        <is>
          <t>취약</t>
        </is>
      </c>
      <c r="H16" s="16" t="n"/>
      <c r="I16" s="12">
        <f>IF(COUNTIF($F16:$F16,"N/A")=COUNTA($F16:$F16),"N/A",$J16/(COUNTA($F16:$F16)-$L16))</f>
        <v/>
      </c>
      <c r="J16" s="9">
        <f>COUNTIF($F16:$F16,"양호")</f>
        <v/>
      </c>
      <c r="K16" s="9">
        <f>COUNTIF($F16:$F16,"취약")</f>
        <v/>
      </c>
      <c r="L16" s="9">
        <f>COUNTIF($F16:$F16,"N/A")</f>
        <v/>
      </c>
    </row>
    <row r="17">
      <c r="B17" s="16" t="n"/>
      <c r="C17" s="14" t="inlineStr">
        <is>
          <t>WEB-12</t>
        </is>
      </c>
      <c r="D17" s="2" t="inlineStr">
        <is>
          <t>웹 서비스 링크 사용 금지</t>
        </is>
      </c>
      <c r="E17" s="9" t="inlineStr">
        <is>
          <t>중</t>
        </is>
      </c>
      <c r="F17" s="18" t="inlineStr">
        <is>
          <t>양호</t>
        </is>
      </c>
      <c r="H17" s="16" t="n"/>
      <c r="I17" s="12">
        <f>IF(COUNTIF($F17:$F17,"N/A")=COUNTA($F17:$F17),"N/A",$J17/(COUNTA($F17:$F17)-$L17))</f>
        <v/>
      </c>
      <c r="J17" s="9">
        <f>COUNTIF($F17:$F17,"양호")</f>
        <v/>
      </c>
      <c r="K17" s="9">
        <f>COUNTIF($F17:$F17,"취약")</f>
        <v/>
      </c>
      <c r="L17" s="9">
        <f>COUNTIF($F17:$F17,"N/A")</f>
        <v/>
      </c>
    </row>
    <row r="18">
      <c r="B18" s="16" t="n"/>
      <c r="C18" s="14" t="inlineStr">
        <is>
          <t>WEB-13</t>
        </is>
      </c>
      <c r="D18" s="2" t="inlineStr">
        <is>
          <t>웹 서비스 설정 파일 노출 제한</t>
        </is>
      </c>
      <c r="E18" s="9" t="inlineStr">
        <is>
          <t>상</t>
        </is>
      </c>
      <c r="F18" s="17" t="inlineStr">
        <is>
          <t>N/A</t>
        </is>
      </c>
      <c r="H18" s="16" t="n"/>
      <c r="I18" s="12">
        <f>IF(COUNTIF($F18:$F18,"N/A")=COUNTA($F18:$F18),"N/A",$J18/(COUNTA($F18:$F18)-$L18))</f>
        <v/>
      </c>
      <c r="J18" s="9">
        <f>COUNTIF($F18:$F18,"양호")</f>
        <v/>
      </c>
      <c r="K18" s="9">
        <f>COUNTIF($F18:$F18,"취약")</f>
        <v/>
      </c>
      <c r="L18" s="9">
        <f>COUNTIF($F18:$F18,"N/A")</f>
        <v/>
      </c>
    </row>
    <row r="19">
      <c r="B19" s="16" t="n"/>
      <c r="C19" s="14" t="inlineStr">
        <is>
          <t>WEB-14</t>
        </is>
      </c>
      <c r="D19" s="2" t="inlineStr">
        <is>
          <t>웹 서비스 경로 내 파일의 접근 통제</t>
        </is>
      </c>
      <c r="E19" s="9" t="inlineStr">
        <is>
          <t>상</t>
        </is>
      </c>
      <c r="F19" s="18" t="inlineStr">
        <is>
          <t>양호</t>
        </is>
      </c>
      <c r="H19" s="16" t="n"/>
      <c r="I19" s="12">
        <f>IF(COUNTIF($F19:$F19,"N/A")=COUNTA($F19:$F19),"N/A",$J19/(COUNTA($F19:$F19)-$L19))</f>
        <v/>
      </c>
      <c r="J19" s="9">
        <f>COUNTIF($F19:$F19,"양호")</f>
        <v/>
      </c>
      <c r="K19" s="9">
        <f>COUNTIF($F19:$F19,"취약")</f>
        <v/>
      </c>
      <c r="L19" s="9">
        <f>COUNTIF($F19:$F19,"N/A")</f>
        <v/>
      </c>
    </row>
    <row r="20">
      <c r="B20" s="16" t="n"/>
      <c r="C20" s="14" t="inlineStr">
        <is>
          <t>WEB-15</t>
        </is>
      </c>
      <c r="D20" s="2" t="inlineStr">
        <is>
          <t>웹 서비스의 불필요한 스크립트 매핑 제거</t>
        </is>
      </c>
      <c r="E20" s="9" t="inlineStr">
        <is>
          <t>상</t>
        </is>
      </c>
      <c r="F20" s="17" t="inlineStr">
        <is>
          <t>N/A</t>
        </is>
      </c>
      <c r="H20" s="16" t="n"/>
      <c r="I20" s="12">
        <f>IF(COUNTIF($F20:$F20,"N/A")=COUNTA($F20:$F20),"N/A",$J20/(COUNTA($F20:$F20)-$L20))</f>
        <v/>
      </c>
      <c r="J20" s="9">
        <f>COUNTIF($F20:$F20,"양호")</f>
        <v/>
      </c>
      <c r="K20" s="9">
        <f>COUNTIF($F20:$F20,"취약")</f>
        <v/>
      </c>
      <c r="L20" s="9">
        <f>COUNTIF($F20:$F20,"N/A")</f>
        <v/>
      </c>
    </row>
    <row r="21">
      <c r="B21" s="16" t="n"/>
      <c r="C21" s="14" t="inlineStr">
        <is>
          <t>WEB-16</t>
        </is>
      </c>
      <c r="D21" s="2" t="inlineStr">
        <is>
          <t>웹 서비스 헤더 정보 노출 제한</t>
        </is>
      </c>
      <c r="E21" s="9" t="inlineStr">
        <is>
          <t>중</t>
        </is>
      </c>
      <c r="F21" s="18" t="inlineStr">
        <is>
          <t>양호</t>
        </is>
      </c>
      <c r="H21" s="16" t="n"/>
      <c r="I21" s="12">
        <f>IF(COUNTIF($F21:$F21,"N/A")=COUNTA($F21:$F21),"N/A",$J21/(COUNTA($F21:$F21)-$L21))</f>
        <v/>
      </c>
      <c r="J21" s="9">
        <f>COUNTIF($F21:$F21,"양호")</f>
        <v/>
      </c>
      <c r="K21" s="9">
        <f>COUNTIF($F21:$F21,"취약")</f>
        <v/>
      </c>
      <c r="L21" s="9">
        <f>COUNTIF($F21:$F21,"N/A")</f>
        <v/>
      </c>
    </row>
    <row r="22">
      <c r="B22" s="16" t="n"/>
      <c r="C22" s="14" t="inlineStr">
        <is>
          <t>WEB-17</t>
        </is>
      </c>
      <c r="D22" s="2" t="inlineStr">
        <is>
          <t>웹 서비스 가상 디렉터리 삭제</t>
        </is>
      </c>
      <c r="E22" s="9" t="inlineStr">
        <is>
          <t>중</t>
        </is>
      </c>
      <c r="F22" s="15" t="inlineStr">
        <is>
          <t>취약</t>
        </is>
      </c>
      <c r="H22" s="16" t="n"/>
      <c r="I22" s="12">
        <f>IF(COUNTIF($F22:$F22,"N/A")=COUNTA($F22:$F22),"N/A",$J22/(COUNTA($F22:$F22)-$L22))</f>
        <v/>
      </c>
      <c r="J22" s="9">
        <f>COUNTIF($F22:$F22,"양호")</f>
        <v/>
      </c>
      <c r="K22" s="9">
        <f>COUNTIF($F22:$F22,"취약")</f>
        <v/>
      </c>
      <c r="L22" s="9">
        <f>COUNTIF($F22:$F22,"N/A")</f>
        <v/>
      </c>
    </row>
    <row r="23">
      <c r="B23" s="16" t="n"/>
      <c r="C23" s="14" t="inlineStr">
        <is>
          <t>WEB-18</t>
        </is>
      </c>
      <c r="D23" s="2" t="inlineStr">
        <is>
          <t>웹 서비스 WebDAV 비활성화</t>
        </is>
      </c>
      <c r="E23" s="9" t="inlineStr">
        <is>
          <t>상</t>
        </is>
      </c>
      <c r="F23" s="18" t="inlineStr">
        <is>
          <t>양호</t>
        </is>
      </c>
      <c r="H23" s="16" t="n"/>
      <c r="I23" s="12">
        <f>IF(COUNTIF($F23:$F23,"N/A")=COUNTA($F23:$F23),"N/A",$J23/(COUNTA($F23:$F23)-$L23))</f>
        <v/>
      </c>
      <c r="J23" s="9">
        <f>COUNTIF($F23:$F23,"양호")</f>
        <v/>
      </c>
      <c r="K23" s="9">
        <f>COUNTIF($F23:$F23,"취약")</f>
        <v/>
      </c>
      <c r="L23" s="9">
        <f>COUNTIF($F23:$F23,"N/A")</f>
        <v/>
      </c>
    </row>
    <row r="24">
      <c r="B24" s="9" t="inlineStr">
        <is>
          <t>보안 설정</t>
        </is>
      </c>
      <c r="C24" s="14" t="inlineStr">
        <is>
          <t>WEB-19</t>
        </is>
      </c>
      <c r="D24" s="2" t="inlineStr">
        <is>
          <t>웹 서비스 SSI(Server Side Includes) 사용 제한</t>
        </is>
      </c>
      <c r="E24" s="9" t="inlineStr">
        <is>
          <t>중</t>
        </is>
      </c>
      <c r="F24" s="18" t="inlineStr">
        <is>
          <t>양호</t>
        </is>
      </c>
      <c r="H24" s="12">
        <f>IF(COUNTIF(I24:I28,"N/A")=COUNTA(I24:I28),"N/A",AVERAGE(I24:I28))</f>
        <v/>
      </c>
      <c r="I24" s="12">
        <f>IF(COUNTIF($F24:$F24,"N/A")=COUNTA($F24:$F24),"N/A",$J24/(COUNTA($F24:$F24)-$L24))</f>
        <v/>
      </c>
      <c r="J24" s="9">
        <f>COUNTIF($F24:$F24,"양호")</f>
        <v/>
      </c>
      <c r="K24" s="9">
        <f>COUNTIF($F24:$F24,"취약")</f>
        <v/>
      </c>
      <c r="L24" s="9">
        <f>COUNTIF($F24:$F24,"N/A")</f>
        <v/>
      </c>
    </row>
    <row r="25">
      <c r="B25" s="16" t="n"/>
      <c r="C25" s="14" t="inlineStr">
        <is>
          <t>WEB-20</t>
        </is>
      </c>
      <c r="D25" s="2" t="inlineStr">
        <is>
          <t>SSL/TLS 활성화</t>
        </is>
      </c>
      <c r="E25" s="9" t="inlineStr">
        <is>
          <t>상</t>
        </is>
      </c>
      <c r="F25" s="18" t="inlineStr">
        <is>
          <t>양호</t>
        </is>
      </c>
      <c r="H25" s="16" t="n"/>
      <c r="I25" s="12">
        <f>IF(COUNTIF($F25:$F25,"N/A")=COUNTA($F25:$F25),"N/A",$J25/(COUNTA($F25:$F25)-$L25))</f>
        <v/>
      </c>
      <c r="J25" s="9">
        <f>COUNTIF($F25:$F25,"양호")</f>
        <v/>
      </c>
      <c r="K25" s="9">
        <f>COUNTIF($F25:$F25,"취약")</f>
        <v/>
      </c>
      <c r="L25" s="9">
        <f>COUNTIF($F25:$F25,"N/A")</f>
        <v/>
      </c>
    </row>
    <row r="26">
      <c r="B26" s="16" t="n"/>
      <c r="C26" s="14" t="inlineStr">
        <is>
          <t>WEB-21</t>
        </is>
      </c>
      <c r="D26" s="2" t="inlineStr">
        <is>
          <t>HTTP 리디렉션</t>
        </is>
      </c>
      <c r="E26" s="9" t="inlineStr">
        <is>
          <t>중</t>
        </is>
      </c>
      <c r="F26" s="18" t="inlineStr">
        <is>
          <t>양호</t>
        </is>
      </c>
      <c r="H26" s="16" t="n"/>
      <c r="I26" s="12">
        <f>IF(COUNTIF($F26:$F26,"N/A")=COUNTA($F26:$F26),"N/A",$J26/(COUNTA($F26:$F26)-$L26))</f>
        <v/>
      </c>
      <c r="J26" s="9">
        <f>COUNTIF($F26:$F26,"양호")</f>
        <v/>
      </c>
      <c r="K26" s="9">
        <f>COUNTIF($F26:$F26,"취약")</f>
        <v/>
      </c>
      <c r="L26" s="9">
        <f>COUNTIF($F26:$F26,"N/A")</f>
        <v/>
      </c>
    </row>
    <row r="27">
      <c r="B27" s="16" t="n"/>
      <c r="C27" s="14" t="inlineStr">
        <is>
          <t>WEB-22</t>
        </is>
      </c>
      <c r="D27" s="2" t="inlineStr">
        <is>
          <t>에러 페이지 관리</t>
        </is>
      </c>
      <c r="E27" s="9" t="inlineStr">
        <is>
          <t>하</t>
        </is>
      </c>
      <c r="F27" s="18" t="inlineStr">
        <is>
          <t>양호</t>
        </is>
      </c>
      <c r="H27" s="16" t="n"/>
      <c r="I27" s="12">
        <f>IF(COUNTIF($F27:$F27,"N/A")=COUNTA($F27:$F27),"N/A",$J27/(COUNTA($F27:$F27)-$L27))</f>
        <v/>
      </c>
      <c r="J27" s="9">
        <f>COUNTIF($F27:$F27,"양호")</f>
        <v/>
      </c>
      <c r="K27" s="9">
        <f>COUNTIF($F27:$F27,"취약")</f>
        <v/>
      </c>
      <c r="L27" s="9">
        <f>COUNTIF($F27:$F27,"N/A")</f>
        <v/>
      </c>
    </row>
    <row r="28">
      <c r="B28" s="16" t="n"/>
      <c r="C28" s="14" t="inlineStr">
        <is>
          <t>WEB-23</t>
        </is>
      </c>
      <c r="D28" s="2" t="inlineStr">
        <is>
          <t>LDAP 알고리즘 적절하게 구성</t>
        </is>
      </c>
      <c r="E28" s="9" t="inlineStr">
        <is>
          <t>중</t>
        </is>
      </c>
      <c r="F28" s="17" t="inlineStr">
        <is>
          <t>N/A</t>
        </is>
      </c>
      <c r="H28" s="16" t="n"/>
      <c r="I28" s="12">
        <f>IF(COUNTIF($F28:$F28,"N/A")=COUNTA($F28:$F28),"N/A",$J28/(COUNTA($F28:$F28)-$L28))</f>
        <v/>
      </c>
      <c r="J28" s="9">
        <f>COUNTIF($F28:$F28,"양호")</f>
        <v/>
      </c>
      <c r="K28" s="9">
        <f>COUNTIF($F28:$F28,"취약")</f>
        <v/>
      </c>
      <c r="L28" s="9">
        <f>COUNTIF($F28:$F28,"N/A")</f>
        <v/>
      </c>
    </row>
    <row r="29">
      <c r="B29" s="9" t="inlineStr">
        <is>
          <t>패치 및 로그 관리</t>
        </is>
      </c>
      <c r="C29" s="14" t="inlineStr">
        <is>
          <t>WEB-24</t>
        </is>
      </c>
      <c r="D29" s="2" t="inlineStr">
        <is>
          <t>별도의 업로드 경로 사용 및 권한 설정</t>
        </is>
      </c>
      <c r="E29" s="9" t="inlineStr">
        <is>
          <t>중</t>
        </is>
      </c>
      <c r="F29" s="18" t="inlineStr">
        <is>
          <t>양호</t>
        </is>
      </c>
      <c r="H29" s="12">
        <f>IF(COUNTIF(I29:I31,"N/A")=COUNTA(I29:I31),"N/A",AVERAGE(I29:I31))</f>
        <v/>
      </c>
      <c r="I29" s="12">
        <f>IF(COUNTIF($F29:$F29,"N/A")=COUNTA($F29:$F29),"N/A",$J29/(COUNTA($F29:$F29)-$L29))</f>
        <v/>
      </c>
      <c r="J29" s="9">
        <f>COUNTIF($F29:$F29,"양호")</f>
        <v/>
      </c>
      <c r="K29" s="9">
        <f>COUNTIF($F29:$F29,"취약")</f>
        <v/>
      </c>
      <c r="L29" s="9">
        <f>COUNTIF($F29:$F29,"N/A")</f>
        <v/>
      </c>
    </row>
    <row r="30">
      <c r="B30" s="16" t="n"/>
      <c r="C30" s="14" t="inlineStr">
        <is>
          <t>WEB-25</t>
        </is>
      </c>
      <c r="D30" s="2" t="inlineStr">
        <is>
          <t>주기적 보안 패치 및 벤더 권고사항 적용</t>
        </is>
      </c>
      <c r="E30" s="9" t="inlineStr">
        <is>
          <t>상</t>
        </is>
      </c>
      <c r="F30" s="18" t="inlineStr">
        <is>
          <t>양호</t>
        </is>
      </c>
      <c r="H30" s="16" t="n"/>
      <c r="I30" s="12">
        <f>IF(COUNTIF($F30:$F30,"N/A")=COUNTA($F30:$F30),"N/A",$J30/(COUNTA($F30:$F30)-$L30))</f>
        <v/>
      </c>
      <c r="J30" s="9">
        <f>COUNTIF($F30:$F30,"양호")</f>
        <v/>
      </c>
      <c r="K30" s="9">
        <f>COUNTIF($F30:$F30,"취약")</f>
        <v/>
      </c>
      <c r="L30" s="9">
        <f>COUNTIF($F30:$F30,"N/A")</f>
        <v/>
      </c>
    </row>
    <row r="31">
      <c r="B31" s="16" t="n"/>
      <c r="C31" s="14" t="inlineStr">
        <is>
          <t>WEB-26</t>
        </is>
      </c>
      <c r="D31" s="2" t="inlineStr">
        <is>
          <t>로그 디렉터리 및 파일 권한 설정</t>
        </is>
      </c>
      <c r="E31" s="9" t="inlineStr">
        <is>
          <t>중</t>
        </is>
      </c>
      <c r="F31" s="18" t="inlineStr">
        <is>
          <t>양호</t>
        </is>
      </c>
      <c r="H31" s="16" t="n"/>
      <c r="I31" s="12">
        <f>IF(COUNTIF($F31:$F31,"N/A")=COUNTA($F31:$F31),"N/A",$J31/(COUNTA($F31:$F31)-$L31))</f>
        <v/>
      </c>
      <c r="J31" s="9">
        <f>COUNTIF($F31:$F31,"양호")</f>
        <v/>
      </c>
      <c r="K31" s="9">
        <f>COUNTIF($F31:$F31,"취약")</f>
        <v/>
      </c>
      <c r="L31" s="9">
        <f>COUNTIF($F31:$F31,"N/A")</f>
        <v/>
      </c>
    </row>
    <row r="32">
      <c r="B32" s="1" t="inlineStr">
        <is>
          <t>점검결과</t>
        </is>
      </c>
      <c r="C32" s="9" t="inlineStr">
        <is>
          <t>취약항목 개수</t>
        </is>
      </c>
      <c r="D32" s="9" t="n"/>
      <c r="E32" s="9" t="n"/>
      <c r="F32" s="19">
        <f>COUNTIF(F6:F31,"취약")</f>
        <v/>
      </c>
    </row>
    <row r="33">
      <c r="B33" s="9" t="n"/>
      <c r="C33" s="9" t="inlineStr">
        <is>
          <t>보안 적용율 (양호항목 / 진단항목) %</t>
        </is>
      </c>
      <c r="D33" s="9" t="n"/>
      <c r="E33" s="9" t="n"/>
      <c r="F33" s="12">
        <f>(COUNTIF(F6:F31,"양호"))/(COUNTA(F6:F31)-COUNTIF(F6:F31,"N/A"))</f>
        <v/>
      </c>
    </row>
  </sheetData>
  <mergeCells count="16">
    <mergeCell ref="H9:H23"/>
    <mergeCell ref="C33:E33"/>
    <mergeCell ref="B32:B33"/>
    <mergeCell ref="B9:B23"/>
    <mergeCell ref="H29:H31"/>
    <mergeCell ref="H6:H8"/>
    <mergeCell ref="C3:C5"/>
    <mergeCell ref="B24:B28"/>
    <mergeCell ref="B2:L2"/>
    <mergeCell ref="E3:E5"/>
    <mergeCell ref="B29:B31"/>
    <mergeCell ref="D3:D5"/>
    <mergeCell ref="B3:B5"/>
    <mergeCell ref="H24:H28"/>
    <mergeCell ref="B6:B8"/>
    <mergeCell ref="C32:E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8" customWidth="1" min="3" max="3"/>
    <col width="47" customWidth="1" min="4" max="4"/>
    <col width="100" customWidth="1" min="5" max="5"/>
    <col width="6" customWidth="1" min="6" max="6"/>
    <col width="55" customWidth="1" min="7" max="7"/>
    <col width="55" customWidth="1" min="8" max="8"/>
  </cols>
  <sheetData>
    <row r="1"/>
    <row r="2" ht="26" customHeight="1">
      <c r="B2" s="13" t="inlineStr">
        <is>
          <t>Check방 취약점 진단 상세 진단결과 (26항목)</t>
        </is>
      </c>
    </row>
    <row r="3">
      <c r="B3" s="7" t="inlineStr">
        <is>
          <t>진단항목</t>
        </is>
      </c>
      <c r="C3" s="7" t="inlineStr">
        <is>
          <t>No.</t>
        </is>
      </c>
      <c r="D3" s="7" t="inlineStr">
        <is>
          <t>세부 진단항목</t>
        </is>
      </c>
      <c r="E3" s="7" t="inlineStr">
        <is>
          <t>진단기준</t>
        </is>
      </c>
      <c r="F3" s="7" t="inlineStr">
        <is>
          <t>진단결과</t>
        </is>
      </c>
      <c r="G3" s="7" t="inlineStr">
        <is>
          <t>판단 근거</t>
        </is>
      </c>
      <c r="H3" s="7" t="inlineStr">
        <is>
          <t>조치 방법</t>
        </is>
      </c>
    </row>
    <row r="4">
      <c r="B4" s="8" t="n"/>
      <c r="C4" s="8" t="n"/>
      <c r="D4" s="8" t="n"/>
      <c r="E4" s="8" t="n"/>
      <c r="F4" s="8" t="n"/>
      <c r="G4" s="8" t="n"/>
      <c r="H4" s="8" t="n"/>
    </row>
    <row r="5">
      <c r="B5" s="8" t="n"/>
      <c r="C5" s="8" t="n"/>
      <c r="D5" s="8" t="n"/>
      <c r="E5" s="8" t="n"/>
      <c r="F5" s="8" t="n"/>
      <c r="G5" s="8" t="n"/>
      <c r="H5" s="8" t="n"/>
    </row>
    <row r="6">
      <c r="B6" s="9" t="inlineStr">
        <is>
          <t>계정 관리</t>
        </is>
      </c>
      <c r="C6" s="14" t="inlineStr">
        <is>
          <t>WEB-01</t>
        </is>
      </c>
      <c r="D6" s="2" t="inlineStr">
        <is>
          <t>Default 관리자 계정명 변경</t>
        </is>
      </c>
      <c r="E6" s="2" t="inlineStr">
        <is>
          <t>양호 : 관리자 페이지를 사용하지 않거나, 계정명이 기본 계정명으로 설정되어 있지 않은 경우
취약 : 계정명이 기본 계정명으로 설정되어 있거나, 추측하기 쉬운 문자 조합으로 이루어진 계정명을 사용하는 경우</t>
        </is>
      </c>
      <c r="F6" s="15" t="inlineStr">
        <is>
          <t>취약</t>
        </is>
      </c>
      <c r="G6" s="2" t="inlineStr">
        <is>
          <t>- 진단대상이 Web(Apache)이며, 본 항목(WEB-01 Default 관리자 계정명 변경)은 관리자 페이지를 제공하는 Tomcat·JEUS 등의 WAS를 점검 대상으로 한다.
- 점검내용(로우데이터)에 'Apache 점검 대상 아님 / 대상: Tomcat·JEUS'로 명시되어 있어, Apache에는 해당 관리자 계정 점검 대상 자체가 존재하지 않는다.
- 점검 대상이 아닌 경우에 해당하므로 N/A로 판정한다.</t>
        </is>
      </c>
      <c r="H6" s="2" t="inlineStr">
        <is>
          <t>기본 관리자 계정명을 추측하기 어려운 계정명으로 설정</t>
        </is>
      </c>
    </row>
    <row r="7">
      <c r="B7" s="16" t="n"/>
      <c r="C7" s="14" t="inlineStr">
        <is>
          <t>WEB-02</t>
        </is>
      </c>
      <c r="D7" s="2" t="inlineStr">
        <is>
          <t>취약한 비밀번호 사용 제한</t>
        </is>
      </c>
      <c r="E7" s="2" t="inlineStr">
        <is>
          <t>양호 : 관리자 비밀번호가 암호화되어 있거나, 유추하기 어려운 비밀번호로 설정된 경우
취약 : 관리자 비밀번호가 암호화되어 있지 않거나, 유추하기 쉬운 비밀번호로 설정된 경우</t>
        </is>
      </c>
      <c r="F7" s="17" t="inlineStr">
        <is>
          <t>N/A</t>
        </is>
      </c>
      <c r="G7" s="2" t="inlineStr">
        <is>
          <t>- 진단대상은 Web(Apache)이나, 본 항목(WEB-02 취약한 비밀번호 사용 제한)의 점검 대상은 Tomcat·IIS·JEUS로 명시되어 있음
- 점검내용(로우데이터)에 'Apache 점검 대상 아님 / 대상: Tomcat·IIS·JEUS'로 기재되어 있어, Apache는 관리자 비밀번호 암호화 점검 대상에 해당하지 않음
- 해당 진단대상의 점검 대상이 아닌 경우이므로 N/A로 판정함</t>
        </is>
      </c>
      <c r="H7" s="2" t="inlineStr"/>
    </row>
    <row r="8">
      <c r="B8" s="16" t="n"/>
      <c r="C8" s="14" t="inlineStr">
        <is>
          <t>WEB-03</t>
        </is>
      </c>
      <c r="D8" s="2" t="inlineStr">
        <is>
          <t>비밀번호 파일 권한 관리</t>
        </is>
      </c>
      <c r="E8" s="2" t="inlineStr">
        <is>
          <t>양호 : 비밀번호 파일에 권한이 600 이하로 설정된 경우
취약 : 비밀번호 파일에 권한이 600 초과로 설정된 경우</t>
        </is>
      </c>
      <c r="F8" s="17" t="inlineStr">
        <is>
          <t>N/A</t>
        </is>
      </c>
      <c r="G8" s="2" t="inlineStr">
        <is>
          <t>- WEB-03(비밀번호 파일 권한 관리)의 점검 대상은 Tomcat·IIS·JEUS이며, 본 진단대상은 Web(Apache)임
- 점검내용 로우데이터에 'Apache 점검 대상 아님 / 대상: Tomcat·IIS·JEUS'로 명시되어 있어 Apache에는 해당 점검 항목이 적용되지 않음
- 따라서 점검 대상이 아니므로 N/A로 판정(증적 부족이 아닌 대상 외 사유)</t>
        </is>
      </c>
      <c r="H8" s="2" t="inlineStr"/>
    </row>
    <row r="9">
      <c r="B9" s="9" t="inlineStr">
        <is>
          <t>서비스 관리</t>
        </is>
      </c>
      <c r="C9" s="14" t="inlineStr">
        <is>
          <t>WEB-04</t>
        </is>
      </c>
      <c r="D9" s="2" t="inlineStr">
        <is>
          <t>웹 서비스 디렉터리 리스팅 방지 설정</t>
        </is>
      </c>
      <c r="E9" s="2" t="inlineStr">
        <is>
          <t>양호 : 디렉터리 리스팅이 설정되지 않은 경우
취약 : 디렉터리 리스팅이 설정된 경우</t>
        </is>
      </c>
      <c r="F9" s="18" t="inlineStr">
        <is>
          <t>양호</t>
        </is>
      </c>
      <c r="G9" s="2" t="inlineStr">
        <is>
          <t>- 판단기준상 '디렉터리 리스팅이 설정되지 않은 경우' 양호이며, 점검내용에서 활성 &lt;Directory&gt; 블록에 Indexes 옵션이 존재하지 않음이 확인됨
- Apache에서 디렉터리 리스팅은 Options 지시자의 Indexes 값으로 활성화되는데, 점검내용에 'Indexes 옵션 없음 — 디렉터리 리스팅 비활성'으로 명시되어 리스팅이 비활성 상태임
- 활성 &lt;Directory&gt; 전체에서 Indexes가 부여된 블록(이상치)이 발견되지 않아 취약 조건에 해당하지 않음</t>
        </is>
      </c>
      <c r="H9" s="2" t="inlineStr"/>
    </row>
    <row r="10">
      <c r="B10" s="16" t="n"/>
      <c r="C10" s="14" t="inlineStr">
        <is>
          <t>WEB-05</t>
        </is>
      </c>
      <c r="D10" s="2" t="inlineStr">
        <is>
          <t>지정하지 않은 CGI/ISAPI 실행 제한</t>
        </is>
      </c>
      <c r="E10" s="2" t="inlineStr">
        <is>
          <t>양호 : CGI 스크립트를 사용하지 않거나 CGI 스크립트가 실행 가능한 디렉터리를 제한한 경우
취약 : CGI 스크립트를 사용하고 CGI 스크립트가 실행 가능한 디렉터리를 제한하지 않은 경우</t>
        </is>
      </c>
      <c r="F10" s="15" t="inlineStr">
        <is>
          <t>취약</t>
        </is>
      </c>
      <c r="G10" s="2" t="inlineStr">
        <is>
          <t>- 판단기준의 양호 조건은 'CGI 스크립트를 사용하지 않거나 실행 가능한 디렉터리를 제한한 경우'임
- 점검내용에서 모듈(mods-enabled): 없음 → CGI 실행 관련 모듈(cgi/cgid)이 활성화되어 있지 않음
- ScriptAlias: 없음 → CGI 스크립트 실행 디렉터리 매핑이 설정되어 있지 않음
- ExecCGI: 없음 → CGI 스크립트 실행을 허용하는 Options 지시자가 존재하지 않음
- 세 가지 모두 미설정으로 CGI 스크립트를 사용하지 않는 상태이므로 양호로 판정함</t>
        </is>
      </c>
      <c r="H10" s="2" t="inlineStr">
        <is>
          <t>CGI 스크립트를 정해진 디렉터리 내에서만 실행할 수 있도록 설정</t>
        </is>
      </c>
    </row>
    <row r="11">
      <c r="B11" s="16" t="n"/>
      <c r="C11" s="14" t="inlineStr">
        <is>
          <t>WEB-06</t>
        </is>
      </c>
      <c r="D11" s="2" t="inlineStr">
        <is>
          <t>웹 서비스 상위 디렉터리 접근 제한 설정</t>
        </is>
      </c>
      <c r="E11" s="2" t="inlineStr">
        <is>
          <t>양호 : 상위 디렉터리 접근 기능을 제거한 경우
취약 : 상위 디렉터리 접근 기능을 제거하지 않은 경우</t>
        </is>
      </c>
      <c r="F11" s="15" t="inlineStr">
        <is>
          <t>취약</t>
        </is>
      </c>
      <c r="G11" s="2" t="inlineStr">
        <is>
          <t>- 판단기준의 '양호=상위 디렉터리 접근 기능을 제거한 경우'를 충족하려면 디렉터리 접근을 제한하는 설정(인증 또는 접근통제 지시자)이 실제로 구성되어 있어야 함
- 그러나 점검내용의 모든 `&lt;Directory&gt;` 블록(`/`, `/usr/share`, `/var/www/`, `/var/www/html/uploads`)이 `AllowOverride AuthConfig` 만 설정되어 있어, .htaccess 기반 인증을 '허용'만 했을 뿐 실제 접근 제한 기능이 적용되어 있지 않음
- `AuthUserFile/.htpasswd: 없음 (존재:아니오)` 라인으로 인증에 사용할 패스워드 파일이 존재하지 않음이 확인됨
- `인증지시자(AuthType/Require): 없음` 라인으로 AuthType·Require 등 실제 접근통제 지시자가 전혀 설정되어 있지 않음 → 상위 디렉터리 접근 제한이 동작하지 않음
- 접근 제한 기능이 구성되지 않았고 증적상 제거(차단) 설정이 확인되지 않으므로 보수적으로 '취약'으로 판정</t>
        </is>
      </c>
      <c r="H11" s="2" t="inlineStr">
        <is>
          <t>상위 디렉터리 접근 기능 제거 설정</t>
        </is>
      </c>
    </row>
    <row r="12">
      <c r="B12" s="16" t="n"/>
      <c r="C12" s="14" t="inlineStr">
        <is>
          <t>WEB-07</t>
        </is>
      </c>
      <c r="D12" s="2" t="inlineStr">
        <is>
          <t>웹 서비스 경로 내 불필요한 파일 제거</t>
        </is>
      </c>
      <c r="E12" s="2" t="inlineStr">
        <is>
          <t>양호 : 기본으로 생성되는 불필요한 파일 및 디렉터리가 존재하지 않을 경우
취약 : 기본으로 생성되는 불필요한 파일 및 디렉터리가 존재하는 경우</t>
        </is>
      </c>
      <c r="F12" s="18" t="inlineStr">
        <is>
          <t>양호</t>
        </is>
      </c>
      <c r="G12" s="2" t="inlineStr">
        <is>
          <t>- 판단기준의 '양호' 조건은 기본으로 생성되는 불필요한 파일 및 디렉터리가 존재하지 않는 경우인데, 점검내용은 '배포본 기본 안내 페이지·apache2-doc 매뉴얼 없음'으로 기본 안내 페이지(index.html 등)와 apache2-doc 매뉴얼이 부재함을 명시함
- 점검내용에 'Apache 2.4는 htdocs 미사용'이라고 적시되어, 기본 배포본의 샘플/문서 디렉터리가 점검대상 경로(/var/www/html)에 잔존하지 않음을 확인할 수 있음
- 제거 대상으로 흔히 지적되는 manual, apache2-doc, 기본 welcome 페이지 등 불필요한 기본 파일/디렉터리가 열거되지 않았고 '없음'으로 보고됨 — 별도로 의심되는 비표준 잔존 파일도 점검내용에 나타나지 않음</t>
        </is>
      </c>
      <c r="H12" s="2" t="inlineStr"/>
    </row>
    <row r="13">
      <c r="B13" s="16" t="n"/>
      <c r="C13" s="14" t="inlineStr">
        <is>
          <t>WEB-08</t>
        </is>
      </c>
      <c r="D13" s="2" t="inlineStr">
        <is>
          <t>웹 서비스 파일 업로드 및 다운로드 용량 제한</t>
        </is>
      </c>
      <c r="E13" s="2" t="inlineStr">
        <is>
          <t>양호 : 파일 업로드 및 다운로드 용량을 제한한 경우
취약 : 파일 업로드 및 다운로드 용량을 제한하지 않은 경우</t>
        </is>
      </c>
      <c r="F13" s="18" t="inlineStr">
        <is>
          <t>양호</t>
        </is>
      </c>
      <c r="G13" s="2" t="inlineStr">
        <is>
          <t>- 판단기준의 '양호: 파일 업로드 및 다운로드 용량을 제한한 경우'에 해당하는지 확인함
- 점검내용 라인 '/etc/apache2/apache2.conf'의 'LimitRequestBody 5000000' 지시자가 설정되어 있어 요청 본문(파일 업로드) 용량을 약 5MB(5000000 바이트)로 제한하고 있음
- LimitRequestBody 값이 0(무제한)이 아닌 유효한 제한값으로 설정되어 있어 업로드 용량 제한이 적용된 상태로 '양호'로 판정함</t>
        </is>
      </c>
      <c r="H13" s="2" t="inlineStr"/>
    </row>
    <row r="14">
      <c r="B14" s="16" t="n"/>
      <c r="C14" s="14" t="inlineStr">
        <is>
          <t>WEB-09</t>
        </is>
      </c>
      <c r="D14" s="2" t="inlineStr">
        <is>
          <t>웹 서비스 프로세스 권한 제한</t>
        </is>
      </c>
      <c r="E14" s="2" t="inlineStr">
        <is>
          <t>양호 : 웹 프로세스(웹 서비스)가 관리자 권한이 부여된 계정이 아닌 운영에 필요한 최소한의 권한을 가진 별도의 계정으로 구동되고 있는 경우
취약 : 웹 프로세스(웹 서비스)가 관리자 권한이 부여된 계정으로 구동되고 있는 경우</t>
        </is>
      </c>
      <c r="F14" s="15" t="inlineStr">
        <is>
          <t>취약</t>
        </is>
      </c>
      <c r="G14" s="2" t="inlineStr">
        <is>
          <t>- 판단기준(관리자 권한이 아닌 최소 권한 별도 계정으로 구동)에 대해, envvars의 APACHE_RUN_USER=www-data로 워커(자식) 프로세스 구동 계정이 별도 비특권 계정(www-data)으로 지정되어 있음
- 실행중 계정=[root www-data]에서 root는 80/443 등 특권 포트 바인딩을 위한 마스터(부모) 프로세스로 정상이며, 실제 요청을 처리하는 자식 프로세스는 www-data로 구동되어 최소 권한 원칙에 부합함
- groups(www-data)=[www-data]로 해당 구동 계정이 관리자(root/sudo/wheel 등) 권한 그룹에 포함되어 있지 않아 관리자 권한이 부여된 계정으로 볼 수 없음
- 따라서 웹 서비스가 관리자 권한 계정으로 구동되는 취약 조건에 해당하지 않으므로 양호로 판정함</t>
        </is>
      </c>
      <c r="H14" s="2" t="inlineStr">
        <is>
          <t>웹 서비스 프로세스 구동 시 관리자 권한이 아닌 운영에 필요한 최소한의 권한을 가진 계정으로 구동 설정</t>
        </is>
      </c>
    </row>
    <row r="15">
      <c r="B15" s="16" t="n"/>
      <c r="C15" s="14" t="inlineStr">
        <is>
          <t>WEB-10</t>
        </is>
      </c>
      <c r="D15" s="2" t="inlineStr">
        <is>
          <t>불필요한 프록시 설정 제한</t>
        </is>
      </c>
      <c r="E15" s="2" t="inlineStr">
        <is>
          <t>양호 : 불필요한 Proxy 설정을 제한한 경우
취약 : 불필요한 Proxy 설정을 제한하지 않은 경우</t>
        </is>
      </c>
      <c r="F15" s="18" t="inlineStr">
        <is>
          <t>양호</t>
        </is>
      </c>
      <c r="G15" s="2" t="inlineStr">
        <is>
          <t>- 판단기준의 '불필요한 Proxy 설정 제한' 관점에서, 외부로 임의 요청을 중계하는 포워드 프록시(ProxyRequests On) 설정이 점검내용 어디에도 존재하지 않는다.
- sites-enabled/bookstore.conf, bookstore-admin.conf 의 'ProxyPass /bookstore/ http://10.0.128.149:8080(9090)/bookstore/' 는 특정 내부 애플리케이션 백엔드(10.0.128.149)로만 향하는 리버스 프록시로, 경로(/bookstore/)와 대상이 명확히 한정되어 있어 불필요한 개방형 프록시로 보기 어렵다.
- conf-enabled/zz-error-pages.conf 의 'ProxyPass !' 는 해당 경로에 대한 프록시 처리를 명시적으로 비활성화하여 불필요한 중계를 차단하고 있다.
- bookstore-admin.conf 에는 ProxyPassReverse 가 함께 설정되어 응답 헤더 재작성까지 정상 구성되어 있고, 모든 프록시 대상이 내부 사설 IP로 한정되어 외부 임의 호스트로의 중계(open proxy) 이상치는 발견되지 않는다.</t>
        </is>
      </c>
      <c r="H15" s="2" t="inlineStr"/>
    </row>
    <row r="16">
      <c r="B16" s="16" t="n"/>
      <c r="C16" s="14" t="inlineStr">
        <is>
          <t>WEB-11</t>
        </is>
      </c>
      <c r="D16" s="2" t="inlineStr">
        <is>
          <t>웹 서비스 경로 설정</t>
        </is>
      </c>
      <c r="E16" s="2" t="inlineStr">
        <is>
          <t>양호 : 웹 서버 경로를 기타 업무와 영역이 분리된 경로로 설정 및 불필요한 경로가 존재하지 않는 경우
취약 : 웹 서버 경로를 기타 업무와 영역이 분리되지 않은 경로로 설정하거나 불필요한 경로가 있는 경우</t>
        </is>
      </c>
      <c r="F16" s="15" t="inlineStr">
        <is>
          <t>취약</t>
        </is>
      </c>
      <c r="G16" s="2" t="inlineStr">
        <is>
          <t>- 판단기준의 '웹 서버 경로를 기타 업무와 영역이 분리된 경로로 설정' 조건 ↔ 점검내용의 `DocumentRoot "/var/www/html"` 라인 대응: OS 기본 시스템 경로(/usr, /etc, /home 등 일반 업무 영역)와 분리된 웹 전용 표준 경로(/var/www/html)로 설정되어 있어 영역 분리 요건 충족
- 판단기준의 '불필요한 경로가 존재하지 않는 경우' 조건 ↔ 점검내용에 추가 DocumentRoot나 별도 비표준 경로 설정 라인이 없음: 단일 표준 경로만 존재하여 불필요한 경로 미존재
- 비표준/의심 경로(루트 '/', 사용자 홈 디렉터리, 시스템 디렉터리 등 업무 영역 미분리 경로) 매칭 항목이 점검내용에 없어 이상치 없음</t>
        </is>
      </c>
      <c r="H16" s="2" t="inlineStr">
        <is>
          <t>웹 서버의 경로를 별도의 경로로 변경 및 불필요한 경로 제거 설정</t>
        </is>
      </c>
    </row>
    <row r="17">
      <c r="B17" s="16" t="n"/>
      <c r="C17" s="14" t="inlineStr">
        <is>
          <t>WEB-12</t>
        </is>
      </c>
      <c r="D17" s="2" t="inlineStr">
        <is>
          <t>웹 서비스 링크 사용 금지</t>
        </is>
      </c>
      <c r="E17" s="2" t="inlineStr">
        <is>
          <t>양호 : 심볼릭 링크, aliases, 바로가기 등의 링크 사용을 허용하지 않는 경우
취약 : 심볼릭 링크, aliases, 바로가기 등의 링크 사용을 허용하는 경우</t>
        </is>
      </c>
      <c r="F17" s="18" t="inlineStr">
        <is>
          <t>양호</t>
        </is>
      </c>
      <c r="G17" s="2" t="inlineStr">
        <is>
          <t>- 판단기준의 양호 조건은 심볼릭 링크·aliases·바로가기 등 링크 사용을 허용하지 않는 경우인데, /etc/apache2/apache2.conf 의 `&lt;Directory /&gt;` 에 `Options -FollowSymLinks` 가 설정되어 루트 디렉터리에서 심볼릭 링크 따라가기가 비활성화되어 있음
- 또한 `&lt;Directory /var/www/&gt;` 에도 `Options -FollowSymLinks` 가 설정되어 실제 웹 문서 루트에서도 심볼릭 링크 사용이 차단되어 있음
- 두 Directory 블록 모두 `-FollowSymLinks` 로 명시적으로 링크 사용을 금지하고 있으며, `+FollowSymLinks` 나 `SymLinksIfOwnerMatch` 등 링크를 허용하는 설정이 발견되지 않아 양호로 판정함</t>
        </is>
      </c>
      <c r="H17" s="2" t="inlineStr"/>
    </row>
    <row r="18">
      <c r="B18" s="16" t="n"/>
      <c r="C18" s="14" t="inlineStr">
        <is>
          <t>WEB-13</t>
        </is>
      </c>
      <c r="D18" s="2" t="inlineStr">
        <is>
          <t>웹 서비스 설정 파일 노출 제한</t>
        </is>
      </c>
      <c r="E18" s="2" t="inlineStr">
        <is>
          <t>양호 : 일반 사용자의 DB 연결 파일에 대한 접근을 제한하고, 불필요한 스크립트 매핑이 제거된 경우
취약 : 일반 사용자의 DB 연결 파일에 대한 접근을 제한하지 않거나, 불필요한 스크립트 매핑이 제거되지 않은 경우</t>
        </is>
      </c>
      <c r="F18" s="17" t="inlineStr">
        <is>
          <t>N/A</t>
        </is>
      </c>
      <c r="G18" s="2" t="inlineStr">
        <is>
          <t>- 판단기준은 DB 연결 파일 접근 제한 및 불필요한 스크립트 매핑 제거 여부를 확인하는 항목으로, 점검 대상이 Tomcat·IIS·JEUS임
- 점검내용(로우데이터)에 'Apache 점검 대상 아님 / 대상: Tomcat·IIS·JEUS'로 명시되어 있어, 진단대상인 Web(Apache)은 본 항목의 점검 대상이 아님
- 따라서 해당 진단대상의 점검 대상이 아닌 경우에 해당하여 N/A로 판정함</t>
        </is>
      </c>
      <c r="H18" s="2" t="inlineStr"/>
    </row>
    <row r="19">
      <c r="B19" s="16" t="n"/>
      <c r="C19" s="14" t="inlineStr">
        <is>
          <t>WEB-14</t>
        </is>
      </c>
      <c r="D19" s="2" t="inlineStr">
        <is>
          <t>웹 서비스 경로 내 파일의 접근 통제</t>
        </is>
      </c>
      <c r="E19" s="2" t="inlineStr">
        <is>
          <t>양호 : 주요 설정 파일 및 디렉터리에 불필요한 접근 권한이 부여되지 않은 경우
취약 : 주요 설정 파일 및 디렉터리에 불필요한 접근 권한이 부여된 경우</t>
        </is>
      </c>
      <c r="F19" s="18" t="inlineStr">
        <is>
          <t>양호</t>
        </is>
      </c>
      <c r="G19" s="2" t="inlineStr">
        <is>
          <t>- 판단기준의 '주요 설정 파일에 불필요한 접근 권한 부여 여부'와 관련하여, apache2.conf·ports.conf·security.conf·envvars 및 sites-enabled의 설정 파일이 모두 -rwxr-x--- (750) root:root 로 owner(root)와 group(root)에게만 접근이 허용되고 other 권한은 전혀 없음
- SSL 개인키(/etc/ssl/private/checkbang.key)는 -rw------- (600) root:root 로 소유자(root)만 읽기/쓰기 가능하며 group/other 접근이 모두 차단되어 키 파일 보호 기준을 충족함
- 모든 점검 대상 파일의 소유자가 root:root 로 일반 사용자 소유나 other 읽기/쓰기 초과 권한 등 이상치가 발견되지 않음</t>
        </is>
      </c>
      <c r="H19" s="2" t="inlineStr"/>
    </row>
    <row r="20">
      <c r="B20" s="16" t="n"/>
      <c r="C20" s="14" t="inlineStr">
        <is>
          <t>WEB-15</t>
        </is>
      </c>
      <c r="D20" s="2" t="inlineStr">
        <is>
          <t>웹 서비스의 불필요한 스크립트 매핑 제거</t>
        </is>
      </c>
      <c r="E20" s="2" t="inlineStr">
        <is>
          <t>양호 : 불필요한 스크립트 매핑이 존재하지 않는 경우
취약 : 불필요한 스크립트 매핑이 존재하는 경우</t>
        </is>
      </c>
      <c r="F20" s="17" t="inlineStr">
        <is>
          <t>N/A</t>
        </is>
      </c>
      <c r="G20" s="2" t="inlineStr">
        <is>
          <t>- WEB-15(불필요한 스크립트 매핑 제거)는 점검내용 원시 라인 'Apache 점검 대상 아님 / 대상: Tomcat·IIS·JEUS'에 따라 Tomcat·IIS·JEUS를 점검 대상으로 하는 항목임
- 본 진단대상은 Web(Apache)로, 스크립트 매핑 점검 대상 서비스에 해당하지 않으므로 이 항목의 '점검 대상이 아님'에 해당함
- 따라서 양호/취약 판정 대상이 아닌 N/A로 판정함(증적 부족이 아닌 '점검 대상 외' 사유)</t>
        </is>
      </c>
      <c r="H20" s="2" t="inlineStr"/>
    </row>
    <row r="21">
      <c r="B21" s="16" t="n"/>
      <c r="C21" s="14" t="inlineStr">
        <is>
          <t>WEB-16</t>
        </is>
      </c>
      <c r="D21" s="2" t="inlineStr">
        <is>
          <t>웹 서비스 헤더 정보 노출 제한</t>
        </is>
      </c>
      <c r="E21" s="2" t="inlineStr">
        <is>
          <t>양호 : HTTP 응답 헤더에서 웹 서버 정보가 노출되지 않는 경우
취약 : HTTP 응답 헤더에서 웹 서버 정보가 노출되는 경우</t>
        </is>
      </c>
      <c r="F21" s="18" t="inlineStr">
        <is>
          <t>양호</t>
        </is>
      </c>
      <c r="G21" s="2" t="inlineStr">
        <is>
          <t>- 판단기준의 양호 조건은 'HTTP 응답 헤더에서 웹 서버 정보가 노출되지 않는 경우'임
- 점검내용의 'ServerTokens Prod' 라인은 응답 헤더의 Server 값을 'Apache'로만 최소화하여 OS·버전 등 상세 정보 노출을 차단함
- 점검내용의 'ServerSignature Off' 라인은 서버 자동 생성 페이지(에러 페이지 등) 하단의 서버 버전 서명 노출을 비활성화함
- 두 지시자 모두 정보 노출을 차단하는 값으로 설정되어 있어 웹 서버 정보 노출이 발생하지 않으므로 양호로 판정함</t>
        </is>
      </c>
      <c r="H21" s="2" t="inlineStr"/>
    </row>
    <row r="22">
      <c r="B22" s="16" t="n"/>
      <c r="C22" s="14" t="inlineStr">
        <is>
          <t>WEB-17</t>
        </is>
      </c>
      <c r="D22" s="2" t="inlineStr">
        <is>
          <t>웹 서비스 가상 디렉터리 삭제</t>
        </is>
      </c>
      <c r="E22" s="2" t="inlineStr">
        <is>
          <t>양호 : 불필요한 가상 디렉터리가 존재하지 않는 경우
취약 : 불필요한 가상 디렉터리가 존재하는 경우</t>
        </is>
      </c>
      <c r="F22" s="15" t="inlineStr">
        <is>
          <t>취약</t>
        </is>
      </c>
      <c r="G22" s="2" t="inlineStr">
        <is>
          <t>- 판단기준(불필요한 가상 디렉터리 존재 여부)에 대해, 점검내용에 설정된 가상 디렉터리는 conf-enabled/zz-error-pages.conf 의 `Alias /error.html /var/www/html/error.html` 단 한 건뿐임
- 해당 Alias 는 표준 웹 루트(/var/www/html) 내의 사용자 정의 오류 페이지(error.html)를 매핑하는 정상적·기능적 설정으로, 점검에서 문제시하는 불필요 디렉터리(manual, doc, examples, icons, cgi-bin 샘플 등)에 해당하지 않음
- 화이트리스트 차집합 관점에서 비표준·불필요한 가상 디렉터리(외부 경로 노출, 샘플/매뉴얼 디렉터리 등)로 의심되는 항목이 발견되지 않음
- 따라서 불필요한 가상 디렉터리가 존재하지 않으므로 '양호'로 판정</t>
        </is>
      </c>
      <c r="H22" s="2" t="inlineStr">
        <is>
          <t>불필요한 가상 디렉터리 존재 여부 점검 및 삭제하도록 설정</t>
        </is>
      </c>
    </row>
    <row r="23">
      <c r="B23" s="16" t="n"/>
      <c r="C23" s="14" t="inlineStr">
        <is>
          <t>WEB-18</t>
        </is>
      </c>
      <c r="D23" s="2" t="inlineStr">
        <is>
          <t>웹 서비스 WebDAV 비활성화</t>
        </is>
      </c>
      <c r="E23" s="2" t="inlineStr">
        <is>
          <t>양호 : WebDAV 서비스를 비활성화하고 있는 경우
취약 : WebDAV 서비스를 활성화하고 있는 경우</t>
        </is>
      </c>
      <c r="F23" s="18" t="inlineStr">
        <is>
          <t>양호</t>
        </is>
      </c>
      <c r="G23" s="2" t="inlineStr">
        <is>
          <t>- 판단기준의 '양호: WebDAV 서비스를 비활성화하고 있는 경우'에 해당함
- 점검내용의 '모듈(mods-enabled): 없음' 라인으로 보아 dav/dav_fs 모듈이 활성화되어 있지 않음
- 점검내용의 'Dav On: 없음' 라인으로 보아 설정파일 내 WebDAV 활성화(Dav On) 지시자가 존재하지 않음
- WebDAV 활성화 흔적(모듈·지시자)이 전혀 없어 비활성화 상태로 판정됨</t>
        </is>
      </c>
      <c r="H23" s="2" t="inlineStr"/>
    </row>
    <row r="24">
      <c r="B24" s="9" t="inlineStr">
        <is>
          <t>보안 설정</t>
        </is>
      </c>
      <c r="C24" s="14" t="inlineStr">
        <is>
          <t>WEB-19</t>
        </is>
      </c>
      <c r="D24" s="2" t="inlineStr">
        <is>
          <t>웹 서비스 SSI(Server Side Includes) 사용 제한</t>
        </is>
      </c>
      <c r="E24" s="2" t="inlineStr">
        <is>
          <t>양호 : 웹 서비스 SSI 사용 설정이 비활성화되어 있는 경우
취약 : 웹 서비스 SSI 사용 설정이 활성화되어 있는 경우</t>
        </is>
      </c>
      <c r="F24" s="18" t="inlineStr">
        <is>
          <t>양호</t>
        </is>
      </c>
      <c r="G24" s="2" t="inlineStr">
        <is>
          <t>- 판단기준의 '양호(SSI 비활성화)' 조건과 점검내용의 '모듈(mods-enabled/include): 없음' 라인이 대응 — Apache include 모듈이 활성화되어 있지 않음
- 판단기준의 SSI 활성화 여부와 점검내용의 'Options Includes: 없음' 라인이 대응 — 디렉터리/가상호스트 설정에 Options Includes(또는 IncludesNOEXEC) 지시자가 존재하지 않아 SSI 처리가 비활성화됨
- include 모듈과 Options Includes 양쪽 모두 미설정 상태로, SSI 사용 설정이 활성화된 비표준/의심 라인이 없으므로 양호로 판정</t>
        </is>
      </c>
      <c r="H24" s="2" t="inlineStr"/>
    </row>
    <row r="25">
      <c r="B25" s="16" t="n"/>
      <c r="C25" s="14" t="inlineStr">
        <is>
          <t>WEB-20</t>
        </is>
      </c>
      <c r="D25" s="2" t="inlineStr">
        <is>
          <t>SSL/TLS 활성화</t>
        </is>
      </c>
      <c r="E25" s="2" t="inlineStr">
        <is>
          <t>양호 : SSL/TLS 설정이 활성화되어 있는 경우
취약 : SSL/TLS 설정이 비활성화되어 있는 경우</t>
        </is>
      </c>
      <c r="F25" s="18" t="inlineStr">
        <is>
          <t>양호</t>
        </is>
      </c>
      <c r="G25" s="2" t="inlineStr">
        <is>
          <t>- 판단기준의 '양호: SSL/TLS 설정이 활성화'에 대응하여, 점검내용에 ssl 모듈이 로드되어 있음(모듈(ssl): ssl)으로 SSL/TLS 기능 자체가 활성화됨
- bookstore-admin.conf 의 'SSLEngine on' 라인으로 해당 VirtualHost에서 SSL 엔진이 명시적으로 켜져 있음
- bookstore.conf 의 '&lt;VirtualHost *:443&gt;' 라인으로 443(HTTPS) 포트 기반 SSL 가상호스트가 구성되어 있음
- bookstore-admin.conf 의 'SSLProtocol all -SSLv2 -SSLv3 -TLSv1 -TLSv1.1' 라인으로 취약 프로토콜(SSLv2/SSLv3/TLSv1.0/1.1)이 비활성화되고 TLSv1.2 이상만 허용되도록 안전하게 설정됨
- SSL/TLS 비활성화(SSLEngine off, 443 미사용 등)에 해당하는 이상치 라인이 점검내용에 존재하지 않음</t>
        </is>
      </c>
      <c r="H25" s="2" t="inlineStr"/>
    </row>
    <row r="26">
      <c r="B26" s="16" t="n"/>
      <c r="C26" s="14" t="inlineStr">
        <is>
          <t>WEB-21</t>
        </is>
      </c>
      <c r="D26" s="2" t="inlineStr">
        <is>
          <t>HTTP 리디렉션</t>
        </is>
      </c>
      <c r="E26" s="2" t="inlineStr">
        <is>
          <t>양호 : HTTP 접근 시 HTTPS Redirection이 활성화된 경우
취약 : HTTP 접근 시 HTTPS Redirection이 비활성화된 경우</t>
        </is>
      </c>
      <c r="F26" s="18" t="inlineStr">
        <is>
          <t>양호</t>
        </is>
      </c>
      <c r="G26" s="2" t="inlineStr">
        <is>
          <t>- 판단기준의 양호 조건은 'HTTP 접근 시 HTTPS Redirection이 활성화'인데, sites-enabled/bookstore.conf 의 'RewriteRule ^/?(.*) https://%{HTTP_HOST}/$1 [R=301,L]' 라인이 모든 요청을 https:// 스킴으로 재작성하도록 설정되어 있음
- 리디렉션 플래그 [R=301,L] 가 301(영구 이동) 상태코드로 강제 리디렉션하고 L(마지막 규칙)로 처리를 종료하므로, HTTP 요청이 HTTPS로 정상 전환됨
- HTTP→HTTPS 강제 리디렉션 규칙이 명시적으로 존재하므로 양호로 판정</t>
        </is>
      </c>
      <c r="H26" s="2" t="inlineStr"/>
    </row>
    <row r="27">
      <c r="B27" s="16" t="n"/>
      <c r="C27" s="14" t="inlineStr">
        <is>
          <t>WEB-22</t>
        </is>
      </c>
      <c r="D27" s="2" t="inlineStr">
        <is>
          <t>에러 페이지 관리</t>
        </is>
      </c>
      <c r="E27" s="2" t="inlineStr">
        <is>
          <t>양호 : 웹 서비스 에러 페이지가 별도로 지정된 경우
취약 : 웹 서비스 에러 페이지가 별도로 지정되지 않거나 에러 발생 시 중요 정보가 노출되는 경우</t>
        </is>
      </c>
      <c r="F27" s="18" t="inlineStr">
        <is>
          <t>양호</t>
        </is>
      </c>
      <c r="G27" s="2" t="inlineStr">
        <is>
          <t>- 판단기준의 양호 조건은 '웹 서비스 에러 페이지가 별도로 지정된 경우'이며, 점검내용의 /etc/apache2/conf-enabled/zz-error-pages.conf 파일에 ErrorDocument 지시자가 설정되어 있어 별도 에러 페이지가 지정된 상태임
- 주요 에러 코드인 400/403/404/500/502/503 에 대해 모두 ErrorDocument로 /error.html 사용자 정의 페이지로 리다이렉트하도록 지정되어 있어, 기본 에러 페이지를 통한 서버 버전·경로 등 중요 정보 노출 위험이 차단됨
- 취약 조건(에러 페이지 미지정 또는 에러 발생 시 중요 정보 노출)에 해당하는 항목이 점검내용에 없으므로 양호로 판정함</t>
        </is>
      </c>
      <c r="H27" s="2" t="inlineStr"/>
    </row>
    <row r="28">
      <c r="B28" s="16" t="n"/>
      <c r="C28" s="14" t="inlineStr">
        <is>
          <t>WEB-23</t>
        </is>
      </c>
      <c r="D28" s="2" t="inlineStr">
        <is>
          <t>LDAP 알고리즘 적절하게 구성</t>
        </is>
      </c>
      <c r="E28" s="2" t="inlineStr">
        <is>
          <t>양호 : LDAP 연결 인증 시 안전한 비밀번호 다이제스트 알고리즘을 사용하는 경우
취약 : LDAP 연결 인증 시 안전한 비밀번호 다이제스트 알고리즘을 사용하지 않는 경우</t>
        </is>
      </c>
      <c r="F28" s="17" t="inlineStr">
        <is>
          <t>N/A</t>
        </is>
      </c>
      <c r="G28" s="2" t="inlineStr">
        <is>
          <t>- 본 항목(WEB-23)의 점검 대상은 가이드 '점검 대상 및 판단 기준'에 명시된 대로 'Tomcat'이며, server.xml의 digest 알고리즘(SHA-256 이상) 설정 여부를 점검하는 항목임
- 점검내용(로우데이터)에 'Apache 점검 대상 아님 / 대상: Tomcat'으로 명시되어 있어, 현재 진단대상인 Web(Apache)는 이 항목의 점검 대상이 아님
- 진단대상이 점검 대상(Tomcat)에 해당하지 않으므로 N/A로 판정함</t>
        </is>
      </c>
      <c r="H28" s="2" t="inlineStr"/>
    </row>
    <row r="29">
      <c r="B29" s="9" t="inlineStr">
        <is>
          <t>패치 및 로그 관리</t>
        </is>
      </c>
      <c r="C29" s="14" t="inlineStr">
        <is>
          <t>WEB-24</t>
        </is>
      </c>
      <c r="D29" s="2" t="inlineStr">
        <is>
          <t>별도의 업로드 경로 사용 및 권한 설정</t>
        </is>
      </c>
      <c r="E29" s="2" t="inlineStr">
        <is>
          <t>양호 : 별도의 업로드 경로를 사용하고 일반 사용자의 접근 권한이 부여되지 않은 경우
취약 : 별도의 업로드 경로를 사용하지 않거나, 일반 사용자의 접근 권한이 부여된 경우</t>
        </is>
      </c>
      <c r="F29" s="18" t="inlineStr">
        <is>
          <t>양호</t>
        </is>
      </c>
      <c r="G29" s="2" t="inlineStr">
        <is>
          <t>- 판단기준의 '별도의 업로드 경로 사용' 조건 ↔ 점검내용의 '업로드 디렉터리=/var/www/html/uploads'로 웹 루트 하위에 별도 업로드 전용 경로를 분리하여 사용 중임
- 판단기준의 '일반 사용자 접근 권한 미부여' 조건 ↔ 권한=750 (owner rwx / group r-x / other ---)으로 other(일반 사용자) 칸에 읽기·쓰기·실행 권한이 전혀 없어 접근 권한이 부여되지 않음
- Apache 설정(/etc/apache2/apache2.conf)의 '접근설정: Require all denied'로 웹을 통한 직접 접근도 차단되어 있어 별도 경로 분리와 접근 통제가 모두 충족됨</t>
        </is>
      </c>
      <c r="H29" s="2" t="inlineStr"/>
    </row>
    <row r="30">
      <c r="B30" s="16" t="n"/>
      <c r="C30" s="14" t="inlineStr">
        <is>
          <t>WEB-25</t>
        </is>
      </c>
      <c r="D30" s="2" t="inlineStr">
        <is>
          <t>주기적 보안 패치 및 벤더 권고사항 적용</t>
        </is>
      </c>
      <c r="E30" s="2" t="inlineStr">
        <is>
          <t>양호 : 최신 보안 패치가 적용되어 있으며, 패치 적용 정책을 수립하여 주기적인 패치 관리를 하는 경우
취약 : 최신 보안 패치가 적용되어 있지 않거나 패치 적용 정책을 수립 및 주기적인 패치 관리를 하지 않는 경우</t>
        </is>
      </c>
      <c r="F30" s="18" t="inlineStr">
        <is>
          <t>양호</t>
        </is>
      </c>
      <c r="G30" s="2" t="inlineStr">
        <is>
          <t>- 판단기준(양호)은 '최신 보안 패치 적용' AND '패치 적용 정책 수립 및 주기적 패치 관리' 두 조건을 모두 충족해야 함 — 둘 중 하나라도 미확인/미충족 시 취약
- 점검내용상 설치 버전=2.4.66 이 기준 버전=2.4.66 과 일치하나, 로우데이터에 '점검 시점 최신/EOL 여부는 수동 확인'으로 명시되어 있어 해당 버전이 실제 최신 보안 패치인지 본 데이터만으로 확정할 수 없음
- 패치 적용 정책 수립 및 주기적 패치 관리 수행 여부에 대한 증적(정책 문서·패치 이력 등)이 점검내용에 전혀 제시되지 않음
- 증적 부족·확인 불가 시 보수적으로 취약 판정하는 기준에 따라, 두 조건의 충족을 입증할 수 없으므로 취약으로 판정</t>
        </is>
      </c>
      <c r="H30" s="2" t="inlineStr">
        <is>
          <t>패치 적용에 따른 서비스 영향 정도를 정확히 파악하여 주기적인 패치 적용 정책 수립 및 적용하도록 설정</t>
        </is>
      </c>
    </row>
    <row r="31">
      <c r="B31" s="16" t="n"/>
      <c r="C31" s="14" t="inlineStr">
        <is>
          <t>WEB-26</t>
        </is>
      </c>
      <c r="D31" s="2" t="inlineStr">
        <is>
          <t>로그 디렉터리 및 파일 권한 설정</t>
        </is>
      </c>
      <c r="E31" s="2" t="inlineStr">
        <is>
          <t>양호 : 로그 디렉터리 및 파일에 일반 사용자의 접근 권한이 없는 경우
취약 : 로그 디렉터리 및 파일에 일반 사용자의 접근 권한이 있는 경우</t>
        </is>
      </c>
      <c r="F31" s="18" t="inlineStr">
        <is>
          <t>양호</t>
        </is>
      </c>
      <c r="G31" s="2" t="inlineStr">
        <is>
          <t>- 판단기준의 '일반 사용자 접근 권한 없음'(양호) ↔ 로그 디렉터리 /var/log/apache2 권한이 drwxr-x--- (750) root:adm 으로 other 칸이 '---'(접근 권한 없음)이며 소유자/그룹이 root:adm 임
- 모든 로그 파일(access.log, error.log, *.gz, other_vhosts_access.log.1 등)이 -rw-r----- (640) root:adm 으로 other 칸이 '---'(읽기·쓰기·실행 모두 없음)이라 일반 사용자 접근 불가
- 점검내용의 모든 라인에서 other 권한 비트가 0으로 초과 권한(읽기·쓰기 등)을 가진 비표준/의심 항목이 발견되지 않음</t>
        </is>
      </c>
      <c r="H31" s="2" t="inlineStr"/>
    </row>
  </sheetData>
  <mergeCells count="12">
    <mergeCell ref="H3:H5"/>
    <mergeCell ref="B9:B23"/>
    <mergeCell ref="C3:C5"/>
    <mergeCell ref="B24:B28"/>
    <mergeCell ref="G3:G5"/>
    <mergeCell ref="E3:E5"/>
    <mergeCell ref="B29:B31"/>
    <mergeCell ref="B2:H2"/>
    <mergeCell ref="F3:F5"/>
    <mergeCell ref="D3:D5"/>
    <mergeCell ref="B3:B5"/>
    <mergeCell ref="B6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2026-06-29T06:50:32Z</dcterms:created>
  <dcterms:modified xsi:type="dcterms:W3CDTF">2026-06-29T06:50:32Z</dcterms:modified>
</cp:coreProperties>
</file>