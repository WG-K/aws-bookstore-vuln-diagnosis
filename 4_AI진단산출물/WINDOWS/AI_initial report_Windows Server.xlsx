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요약결과(그래프)'!$B$5:$B$9</f>
            </numRef>
          </cat>
          <val>
            <numRef>
              <f>'2-1. 요약결과(그래프)'!$C$5:$C$9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요약결과(그래프)'!$B$51:$B$55</f>
            </numRef>
          </cat>
          <val>
            <numRef>
              <f>'2-1. 요약결과(그래프)'!$C$51:$C$55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7" customWidth="1" min="3" max="3"/>
    <col width="14" customWidth="1" min="4" max="4"/>
    <col width="32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EC2AMAZ-305SBHT</t>
        </is>
      </c>
      <c r="D4" s="9" t="inlineStr">
        <is>
          <t>10.0.152.148</t>
        </is>
      </c>
      <c r="E4" s="9" t="inlineStr">
        <is>
          <t>Windows Server 2019 Datacenter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진단결과'!H20</f>
        <v/>
      </c>
    </row>
    <row r="7">
      <c r="B7" s="9" t="inlineStr">
        <is>
          <t>패치 관리</t>
        </is>
      </c>
      <c r="C7" s="12">
        <f>'2-2. 요약 진단결과'!H43</f>
        <v/>
      </c>
    </row>
    <row r="8">
      <c r="B8" s="9" t="inlineStr">
        <is>
          <t>로그 관리</t>
        </is>
      </c>
      <c r="C8" s="12">
        <f>'2-2. 요약 진단결과'!H45</f>
        <v/>
      </c>
    </row>
    <row r="9">
      <c r="B9" s="9" t="inlineStr">
        <is>
          <t>보안 관리</t>
        </is>
      </c>
      <c r="C9" s="12">
        <f>'2-2. 요약 진단결과'!H49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진단결과'!J6:J69)</f>
        <v/>
      </c>
    </row>
    <row r="29">
      <c r="B29" s="9" t="inlineStr">
        <is>
          <t>취약</t>
        </is>
      </c>
      <c r="C29" s="9">
        <f>SUM('2-2. 요약 진단결과'!K6:K69)</f>
        <v/>
      </c>
    </row>
    <row r="30">
      <c r="B30" s="9" t="inlineStr">
        <is>
          <t>N/A</t>
        </is>
      </c>
      <c r="C30" s="9">
        <f>SUM('2-2. 요약 진단결과'!L6:L69)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진단결과'!K6:K19)</f>
        <v/>
      </c>
    </row>
    <row r="52">
      <c r="B52" s="9" t="inlineStr">
        <is>
          <t>서비스 관리</t>
        </is>
      </c>
      <c r="C52" s="9">
        <f>SUM('2-2. 요약 진단결과'!K20:K42)</f>
        <v/>
      </c>
    </row>
    <row r="53">
      <c r="B53" s="9" t="inlineStr">
        <is>
          <t>패치 관리</t>
        </is>
      </c>
      <c r="C53" s="9">
        <f>SUM('2-2. 요약 진단결과'!K43:K44)</f>
        <v/>
      </c>
    </row>
    <row r="54">
      <c r="B54" s="9" t="inlineStr">
        <is>
          <t>로그 관리</t>
        </is>
      </c>
      <c r="C54" s="9">
        <f>SUM('2-2. 요약 진단결과'!K45:K48)</f>
        <v/>
      </c>
    </row>
    <row r="55">
      <c r="B55" s="9" t="inlineStr">
        <is>
          <t>보안 관리</t>
        </is>
      </c>
      <c r="C55" s="9">
        <f>SUM('2-2. 요약 진단결과'!K49:K69)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6" customWidth="1" min="3" max="3"/>
    <col width="52" customWidth="1" min="4" max="4"/>
    <col width="10" customWidth="1" min="5" max="5"/>
    <col width="16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(64항목)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Windows Server</t>
        </is>
      </c>
    </row>
    <row r="5">
      <c r="B5" s="8" t="n"/>
      <c r="C5" s="8" t="n"/>
      <c r="D5" s="8" t="n"/>
      <c r="E5" s="8" t="n"/>
      <c r="F5" s="7" t="inlineStr">
        <is>
          <t>10.0.152.148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9" t="inlineStr">
        <is>
          <t>W-01</t>
        </is>
      </c>
      <c r="D6" s="2" t="inlineStr">
        <is>
          <t>Administrator 계정 이름 변경 등 보안성 강화</t>
        </is>
      </c>
      <c r="E6" s="9" t="inlineStr">
        <is>
          <t>상</t>
        </is>
      </c>
      <c r="F6" s="14" t="inlineStr">
        <is>
          <t>취약</t>
        </is>
      </c>
      <c r="H6" s="12">
        <f>IF(COUNTIF(I6:I19,"N/A")=COUNTA(I6:I19),"N/A",AVERAGE(I6:I19))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5" t="n"/>
      <c r="C7" s="9" t="inlineStr">
        <is>
          <t>W-02</t>
        </is>
      </c>
      <c r="D7" s="2" t="inlineStr">
        <is>
          <t>Guest 계정 비활성화</t>
        </is>
      </c>
      <c r="E7" s="9" t="inlineStr">
        <is>
          <t>상</t>
        </is>
      </c>
      <c r="F7" s="16" t="inlineStr">
        <is>
          <t>양호</t>
        </is>
      </c>
      <c r="H7" s="15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5" t="n"/>
      <c r="C8" s="9" t="inlineStr">
        <is>
          <t>W-03</t>
        </is>
      </c>
      <c r="D8" s="2" t="inlineStr">
        <is>
          <t>불필요한 계정 제거</t>
        </is>
      </c>
      <c r="E8" s="9" t="inlineStr">
        <is>
          <t>상</t>
        </is>
      </c>
      <c r="F8" s="17" t="inlineStr">
        <is>
          <t>N/A</t>
        </is>
      </c>
      <c r="H8" s="15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15" t="n"/>
      <c r="C9" s="9" t="inlineStr">
        <is>
          <t>W-04</t>
        </is>
      </c>
      <c r="D9" s="2" t="inlineStr">
        <is>
          <t>계정 잠금 임계값 설정</t>
        </is>
      </c>
      <c r="E9" s="9" t="inlineStr">
        <is>
          <t>상</t>
        </is>
      </c>
      <c r="F9" s="16" t="inlineStr">
        <is>
          <t>양호</t>
        </is>
      </c>
      <c r="H9" s="15" t="n"/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5" t="n"/>
      <c r="C10" s="9" t="inlineStr">
        <is>
          <t>W-05</t>
        </is>
      </c>
      <c r="D10" s="2" t="inlineStr">
        <is>
          <t>해독 가능한 암호화를 사용하여 암호 저장 해제</t>
        </is>
      </c>
      <c r="E10" s="9" t="inlineStr">
        <is>
          <t>상</t>
        </is>
      </c>
      <c r="F10" s="16" t="inlineStr">
        <is>
          <t>양호</t>
        </is>
      </c>
      <c r="H10" s="15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5" t="n"/>
      <c r="C11" s="9" t="inlineStr">
        <is>
          <t>W-06</t>
        </is>
      </c>
      <c r="D11" s="2" t="inlineStr">
        <is>
          <t>관리자(Administrators) 그룹에 최소한의 사용자 포함</t>
        </is>
      </c>
      <c r="E11" s="9" t="inlineStr">
        <is>
          <t>상</t>
        </is>
      </c>
      <c r="F11" s="16" t="inlineStr">
        <is>
          <t>양호</t>
        </is>
      </c>
      <c r="H11" s="15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5" t="n"/>
      <c r="C12" s="9" t="inlineStr">
        <is>
          <t>W-07</t>
        </is>
      </c>
      <c r="D12" s="2" t="inlineStr">
        <is>
          <t>Everyone 사용 권한을 익명 사용자에게 적용 해제</t>
        </is>
      </c>
      <c r="E12" s="9" t="inlineStr">
        <is>
          <t>상</t>
        </is>
      </c>
      <c r="F12" s="16" t="inlineStr">
        <is>
          <t>양호</t>
        </is>
      </c>
      <c r="H12" s="15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5" t="n"/>
      <c r="C13" s="9" t="inlineStr">
        <is>
          <t>W-08</t>
        </is>
      </c>
      <c r="D13" s="2" t="inlineStr">
        <is>
          <t>계정 잠금 기간 설정</t>
        </is>
      </c>
      <c r="E13" s="9" t="inlineStr">
        <is>
          <t>중</t>
        </is>
      </c>
      <c r="F13" s="16" t="inlineStr">
        <is>
          <t>양호</t>
        </is>
      </c>
      <c r="H13" s="15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5" t="n"/>
      <c r="C14" s="9" t="inlineStr">
        <is>
          <t>W-09</t>
        </is>
      </c>
      <c r="D14" s="2" t="inlineStr">
        <is>
          <t>비밀번호 관리정책 설정</t>
        </is>
      </c>
      <c r="E14" s="9" t="inlineStr">
        <is>
          <t>상</t>
        </is>
      </c>
      <c r="F14" s="16" t="inlineStr">
        <is>
          <t>양호</t>
        </is>
      </c>
      <c r="H14" s="15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5" t="n"/>
      <c r="C15" s="9" t="inlineStr">
        <is>
          <t>W-10</t>
        </is>
      </c>
      <c r="D15" s="2" t="inlineStr">
        <is>
          <t>마지막 사용자 이름 표시 안 함</t>
        </is>
      </c>
      <c r="E15" s="9" t="inlineStr">
        <is>
          <t>중</t>
        </is>
      </c>
      <c r="F15" s="16" t="inlineStr">
        <is>
          <t>양호</t>
        </is>
      </c>
      <c r="H15" s="15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5" t="n"/>
      <c r="C16" s="9" t="inlineStr">
        <is>
          <t>W-11</t>
        </is>
      </c>
      <c r="D16" s="2" t="inlineStr">
        <is>
          <t>로컬 로그온 허용 제한</t>
        </is>
      </c>
      <c r="E16" s="9" t="inlineStr">
        <is>
          <t>중</t>
        </is>
      </c>
      <c r="F16" s="16" t="inlineStr">
        <is>
          <t>양호</t>
        </is>
      </c>
      <c r="H16" s="15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5" t="n"/>
      <c r="C17" s="9" t="inlineStr">
        <is>
          <t>W-12</t>
        </is>
      </c>
      <c r="D17" s="2" t="inlineStr">
        <is>
          <t>익명 SID/이름 변환 허용 해제</t>
        </is>
      </c>
      <c r="E17" s="9" t="inlineStr">
        <is>
          <t>중</t>
        </is>
      </c>
      <c r="F17" s="14" t="inlineStr">
        <is>
          <t>취약</t>
        </is>
      </c>
      <c r="H17" s="15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5" t="n"/>
      <c r="C18" s="9" t="inlineStr">
        <is>
          <t>W-13</t>
        </is>
      </c>
      <c r="D18" s="2" t="inlineStr">
        <is>
          <t>콘솔 로그온 시 로컬 계정 빈 암호 사용 제한</t>
        </is>
      </c>
      <c r="E18" s="9" t="inlineStr">
        <is>
          <t>상</t>
        </is>
      </c>
      <c r="F18" s="16" t="inlineStr">
        <is>
          <t>양호</t>
        </is>
      </c>
      <c r="H18" s="15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5" t="n"/>
      <c r="C19" s="9" t="inlineStr">
        <is>
          <t>W-14</t>
        </is>
      </c>
      <c r="D19" s="2" t="inlineStr">
        <is>
          <t>원격터미널 접속 가능 사용자 그룹 제한</t>
        </is>
      </c>
      <c r="E19" s="9" t="inlineStr">
        <is>
          <t>중</t>
        </is>
      </c>
      <c r="F19" s="16" t="inlineStr">
        <is>
          <t>양호</t>
        </is>
      </c>
      <c r="H19" s="15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9" t="inlineStr">
        <is>
          <t>서비스 관리</t>
        </is>
      </c>
      <c r="C20" s="9" t="inlineStr">
        <is>
          <t>W-15</t>
        </is>
      </c>
      <c r="D20" s="2" t="inlineStr">
        <is>
          <t>사용자 개인키 사용 시 암호 입력</t>
        </is>
      </c>
      <c r="E20" s="9" t="inlineStr">
        <is>
          <t>상</t>
        </is>
      </c>
      <c r="F20" s="16" t="inlineStr">
        <is>
          <t>양호</t>
        </is>
      </c>
      <c r="H20" s="12">
        <f>IF(COUNTIF(I20:I42,"N/A")=COUNTA(I20:I42),"N/A",AVERAGE(I20:I42))</f>
        <v/>
      </c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5" t="n"/>
      <c r="C21" s="9" t="inlineStr">
        <is>
          <t>W-16</t>
        </is>
      </c>
      <c r="D21" s="2" t="inlineStr">
        <is>
          <t>공유 권한 및 사용자 그룹 설정</t>
        </is>
      </c>
      <c r="E21" s="9" t="inlineStr">
        <is>
          <t>상</t>
        </is>
      </c>
      <c r="F21" s="16" t="inlineStr">
        <is>
          <t>양호</t>
        </is>
      </c>
      <c r="H21" s="15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5" t="n"/>
      <c r="C22" s="9" t="inlineStr">
        <is>
          <t>W-17</t>
        </is>
      </c>
      <c r="D22" s="2" t="inlineStr">
        <is>
          <t>하드디스크 기본 공유 제거</t>
        </is>
      </c>
      <c r="E22" s="9" t="inlineStr">
        <is>
          <t>상</t>
        </is>
      </c>
      <c r="F22" s="16" t="inlineStr">
        <is>
          <t>양호</t>
        </is>
      </c>
      <c r="H22" s="15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5" t="n"/>
      <c r="C23" s="9" t="inlineStr">
        <is>
          <t>W-18</t>
        </is>
      </c>
      <c r="D23" s="2" t="inlineStr">
        <is>
          <t>불필요한 서비스 제거</t>
        </is>
      </c>
      <c r="E23" s="9" t="inlineStr">
        <is>
          <t>상</t>
        </is>
      </c>
      <c r="F23" s="16" t="inlineStr">
        <is>
          <t>양호</t>
        </is>
      </c>
      <c r="H23" s="15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15" t="n"/>
      <c r="C24" s="9" t="inlineStr">
        <is>
          <t>W-19</t>
        </is>
      </c>
      <c r="D24" s="2" t="inlineStr">
        <is>
          <t>불필요한 IIS 서비스 구동 점검</t>
        </is>
      </c>
      <c r="E24" s="9" t="inlineStr">
        <is>
          <t>상</t>
        </is>
      </c>
      <c r="F24" s="16" t="inlineStr">
        <is>
          <t>양호</t>
        </is>
      </c>
      <c r="H24" s="15" t="n"/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5" t="n"/>
      <c r="C25" s="9" t="inlineStr">
        <is>
          <t>W-20</t>
        </is>
      </c>
      <c r="D25" s="2" t="inlineStr">
        <is>
          <t>NetBIOS 바인딩 서비스 구동 점검</t>
        </is>
      </c>
      <c r="E25" s="9" t="inlineStr">
        <is>
          <t>상</t>
        </is>
      </c>
      <c r="F25" s="16" t="inlineStr">
        <is>
          <t>양호</t>
        </is>
      </c>
      <c r="H25" s="15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5" t="n"/>
      <c r="C26" s="9" t="inlineStr">
        <is>
          <t>W-21</t>
        </is>
      </c>
      <c r="D26" s="2" t="inlineStr">
        <is>
          <t>암호화되지 않는 FTP 서비스 비활성화</t>
        </is>
      </c>
      <c r="E26" s="9" t="inlineStr">
        <is>
          <t>상</t>
        </is>
      </c>
      <c r="F26" s="16" t="inlineStr">
        <is>
          <t>양호</t>
        </is>
      </c>
      <c r="H26" s="15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5" t="n"/>
      <c r="C27" s="9" t="inlineStr">
        <is>
          <t>W-22</t>
        </is>
      </c>
      <c r="D27" s="2" t="inlineStr">
        <is>
          <t>FTP 디렉터리 접근권한 설정</t>
        </is>
      </c>
      <c r="E27" s="9" t="inlineStr">
        <is>
          <t>상</t>
        </is>
      </c>
      <c r="F27" s="17" t="inlineStr">
        <is>
          <t>N/A</t>
        </is>
      </c>
      <c r="H27" s="15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5" t="n"/>
      <c r="C28" s="9" t="inlineStr">
        <is>
          <t>W-23</t>
        </is>
      </c>
      <c r="D28" s="2" t="inlineStr">
        <is>
          <t>공유 서비스에 대한 익명 접근 제한 설정</t>
        </is>
      </c>
      <c r="E28" s="9" t="inlineStr">
        <is>
          <t>상</t>
        </is>
      </c>
      <c r="F28" s="16" t="inlineStr">
        <is>
          <t>양호</t>
        </is>
      </c>
      <c r="H28" s="15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15" t="n"/>
      <c r="C29" s="9" t="inlineStr">
        <is>
          <t>W-24</t>
        </is>
      </c>
      <c r="D29" s="2" t="inlineStr">
        <is>
          <t>FTP 접근 제어 설정</t>
        </is>
      </c>
      <c r="E29" s="9" t="inlineStr">
        <is>
          <t>상</t>
        </is>
      </c>
      <c r="F29" s="17" t="inlineStr">
        <is>
          <t>N/A</t>
        </is>
      </c>
      <c r="H29" s="15" t="n"/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5" t="n"/>
      <c r="C30" s="9" t="inlineStr">
        <is>
          <t>W-25</t>
        </is>
      </c>
      <c r="D30" s="2" t="inlineStr">
        <is>
          <t>DNS Zone Transfer 설정</t>
        </is>
      </c>
      <c r="E30" s="9" t="inlineStr">
        <is>
          <t>상</t>
        </is>
      </c>
      <c r="F30" s="16" t="inlineStr">
        <is>
          <t>양호</t>
        </is>
      </c>
      <c r="H30" s="15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5" t="n"/>
      <c r="C31" s="9" t="inlineStr">
        <is>
          <t>W-26</t>
        </is>
      </c>
      <c r="D31" s="2" t="inlineStr">
        <is>
          <t>RDS(Remote Data Services) 제거</t>
        </is>
      </c>
      <c r="E31" s="9" t="inlineStr">
        <is>
          <t>상</t>
        </is>
      </c>
      <c r="F31" s="16" t="inlineStr">
        <is>
          <t>양호</t>
        </is>
      </c>
      <c r="H31" s="15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5" t="n"/>
      <c r="C32" s="9" t="inlineStr">
        <is>
          <t>W-27</t>
        </is>
      </c>
      <c r="D32" s="2" t="inlineStr">
        <is>
          <t>최신 Windows OS Build 버전 적용</t>
        </is>
      </c>
      <c r="E32" s="9" t="inlineStr">
        <is>
          <t>상</t>
        </is>
      </c>
      <c r="F32" s="17" t="inlineStr">
        <is>
          <t>N/A</t>
        </is>
      </c>
      <c r="H32" s="15" t="n"/>
      <c r="I32" s="12">
        <f>IF(COUNTIF($F32:$F32,"N/A")=COUNTA($F32:$F32),"N/A",$J32/(COUNTA($F32:$F32)-$L32))</f>
        <v/>
      </c>
      <c r="J32" s="9">
        <f>COUNTIF($F32:$F32,"양호")</f>
        <v/>
      </c>
      <c r="K32" s="9">
        <f>COUNTIF($F32:$F32,"취약")</f>
        <v/>
      </c>
      <c r="L32" s="9">
        <f>COUNTIF($F32:$F32,"N/A")</f>
        <v/>
      </c>
    </row>
    <row r="33">
      <c r="B33" s="15" t="n"/>
      <c r="C33" s="9" t="inlineStr">
        <is>
          <t>W-28</t>
        </is>
      </c>
      <c r="D33" s="2" t="inlineStr">
        <is>
          <t>터미널 서비스 암호화 수준 설정</t>
        </is>
      </c>
      <c r="E33" s="9" t="inlineStr">
        <is>
          <t>중</t>
        </is>
      </c>
      <c r="F33" s="16" t="inlineStr">
        <is>
          <t>양호</t>
        </is>
      </c>
      <c r="H33" s="15" t="n"/>
      <c r="I33" s="12">
        <f>IF(COUNTIF($F33:$F33,"N/A")=COUNTA($F33:$F33),"N/A",$J33/(COUNTA($F33:$F33)-$L33))</f>
        <v/>
      </c>
      <c r="J33" s="9">
        <f>COUNTIF($F33:$F33,"양호")</f>
        <v/>
      </c>
      <c r="K33" s="9">
        <f>COUNTIF($F33:$F33,"취약")</f>
        <v/>
      </c>
      <c r="L33" s="9">
        <f>COUNTIF($F33:$F33,"N/A")</f>
        <v/>
      </c>
    </row>
    <row r="34">
      <c r="B34" s="15" t="n"/>
      <c r="C34" s="9" t="inlineStr">
        <is>
          <t>W-29</t>
        </is>
      </c>
      <c r="D34" s="2" t="inlineStr">
        <is>
          <t>불필요한 SNMP 서비스 구동 점검</t>
        </is>
      </c>
      <c r="E34" s="9" t="inlineStr">
        <is>
          <t>중</t>
        </is>
      </c>
      <c r="F34" s="16" t="inlineStr">
        <is>
          <t>양호</t>
        </is>
      </c>
      <c r="H34" s="15" t="n"/>
      <c r="I34" s="12">
        <f>IF(COUNTIF($F34:$F34,"N/A")=COUNTA($F34:$F34),"N/A",$J34/(COUNTA($F34:$F34)-$L34))</f>
        <v/>
      </c>
      <c r="J34" s="9">
        <f>COUNTIF($F34:$F34,"양호")</f>
        <v/>
      </c>
      <c r="K34" s="9">
        <f>COUNTIF($F34:$F34,"취약")</f>
        <v/>
      </c>
      <c r="L34" s="9">
        <f>COUNTIF($F34:$F34,"N/A")</f>
        <v/>
      </c>
    </row>
    <row r="35">
      <c r="B35" s="15" t="n"/>
      <c r="C35" s="9" t="inlineStr">
        <is>
          <t>W-30</t>
        </is>
      </c>
      <c r="D35" s="2" t="inlineStr">
        <is>
          <t>SNMP Community String 복잡성 설정</t>
        </is>
      </c>
      <c r="E35" s="9" t="inlineStr">
        <is>
          <t>중</t>
        </is>
      </c>
      <c r="F35" s="16" t="inlineStr">
        <is>
          <t>양호</t>
        </is>
      </c>
      <c r="H35" s="15" t="n"/>
      <c r="I35" s="12">
        <f>IF(COUNTIF($F35:$F35,"N/A")=COUNTA($F35:$F35),"N/A",$J35/(COUNTA($F35:$F35)-$L35))</f>
        <v/>
      </c>
      <c r="J35" s="9">
        <f>COUNTIF($F35:$F35,"양호")</f>
        <v/>
      </c>
      <c r="K35" s="9">
        <f>COUNTIF($F35:$F35,"취약")</f>
        <v/>
      </c>
      <c r="L35" s="9">
        <f>COUNTIF($F35:$F35,"N/A")</f>
        <v/>
      </c>
    </row>
    <row r="36">
      <c r="B36" s="15" t="n"/>
      <c r="C36" s="9" t="inlineStr">
        <is>
          <t>W-31</t>
        </is>
      </c>
      <c r="D36" s="2" t="inlineStr">
        <is>
          <t>SNMP Access control 설정</t>
        </is>
      </c>
      <c r="E36" s="9" t="inlineStr">
        <is>
          <t>중</t>
        </is>
      </c>
      <c r="F36" s="16" t="inlineStr">
        <is>
          <t>양호</t>
        </is>
      </c>
      <c r="H36" s="15" t="n"/>
      <c r="I36" s="12">
        <f>IF(COUNTIF($F36:$F36,"N/A")=COUNTA($F36:$F36),"N/A",$J36/(COUNTA($F36:$F36)-$L36))</f>
        <v/>
      </c>
      <c r="J36" s="9">
        <f>COUNTIF($F36:$F36,"양호")</f>
        <v/>
      </c>
      <c r="K36" s="9">
        <f>COUNTIF($F36:$F36,"취약")</f>
        <v/>
      </c>
      <c r="L36" s="9">
        <f>COUNTIF($F36:$F36,"N/A")</f>
        <v/>
      </c>
    </row>
    <row r="37">
      <c r="B37" s="15" t="n"/>
      <c r="C37" s="9" t="inlineStr">
        <is>
          <t>W-32</t>
        </is>
      </c>
      <c r="D37" s="2" t="inlineStr">
        <is>
          <t>DNS 서비스 구동 점검</t>
        </is>
      </c>
      <c r="E37" s="9" t="inlineStr">
        <is>
          <t>중</t>
        </is>
      </c>
      <c r="F37" s="16" t="inlineStr">
        <is>
          <t>양호</t>
        </is>
      </c>
      <c r="H37" s="15" t="n"/>
      <c r="I37" s="12">
        <f>IF(COUNTIF($F37:$F37,"N/A")=COUNTA($F37:$F37),"N/A",$J37/(COUNTA($F37:$F37)-$L37))</f>
        <v/>
      </c>
      <c r="J37" s="9">
        <f>COUNTIF($F37:$F37,"양호")</f>
        <v/>
      </c>
      <c r="K37" s="9">
        <f>COUNTIF($F37:$F37,"취약")</f>
        <v/>
      </c>
      <c r="L37" s="9">
        <f>COUNTIF($F37:$F37,"N/A")</f>
        <v/>
      </c>
    </row>
    <row r="38">
      <c r="B38" s="15" t="n"/>
      <c r="C38" s="9" t="inlineStr">
        <is>
          <t>W-33</t>
        </is>
      </c>
      <c r="D38" s="2" t="inlineStr">
        <is>
          <t>HTTP/FTP/SMTP 배너 차단</t>
        </is>
      </c>
      <c r="E38" s="9" t="inlineStr">
        <is>
          <t>하</t>
        </is>
      </c>
      <c r="F38" s="17" t="inlineStr">
        <is>
          <t>N/A</t>
        </is>
      </c>
      <c r="H38" s="15" t="n"/>
      <c r="I38" s="12">
        <f>IF(COUNTIF($F38:$F38,"N/A")=COUNTA($F38:$F38),"N/A",$J38/(COUNTA($F38:$F38)-$L38))</f>
        <v/>
      </c>
      <c r="J38" s="9">
        <f>COUNTIF($F38:$F38,"양호")</f>
        <v/>
      </c>
      <c r="K38" s="9">
        <f>COUNTIF($F38:$F38,"취약")</f>
        <v/>
      </c>
      <c r="L38" s="9">
        <f>COUNTIF($F38:$F38,"N/A")</f>
        <v/>
      </c>
    </row>
    <row r="39">
      <c r="B39" s="15" t="n"/>
      <c r="C39" s="9" t="inlineStr">
        <is>
          <t>W-34</t>
        </is>
      </c>
      <c r="D39" s="2" t="inlineStr">
        <is>
          <t>Telnet 서비스 비활성화</t>
        </is>
      </c>
      <c r="E39" s="9" t="inlineStr">
        <is>
          <t>중</t>
        </is>
      </c>
      <c r="F39" s="17" t="inlineStr">
        <is>
          <t>N/A</t>
        </is>
      </c>
      <c r="H39" s="15" t="n"/>
      <c r="I39" s="12">
        <f>IF(COUNTIF($F39:$F39,"N/A")=COUNTA($F39:$F39),"N/A",$J39/(COUNTA($F39:$F39)-$L39))</f>
        <v/>
      </c>
      <c r="J39" s="9">
        <f>COUNTIF($F39:$F39,"양호")</f>
        <v/>
      </c>
      <c r="K39" s="9">
        <f>COUNTIF($F39:$F39,"취약")</f>
        <v/>
      </c>
      <c r="L39" s="9">
        <f>COUNTIF($F39:$F39,"N/A")</f>
        <v/>
      </c>
    </row>
    <row r="40">
      <c r="B40" s="15" t="n"/>
      <c r="C40" s="9" t="inlineStr">
        <is>
          <t>W-35</t>
        </is>
      </c>
      <c r="D40" s="2" t="inlineStr">
        <is>
          <t>불필요한 ODBC/OLE-DB 데이터 소스와 드라이버 제거</t>
        </is>
      </c>
      <c r="E40" s="9" t="inlineStr">
        <is>
          <t>중</t>
        </is>
      </c>
      <c r="F40" s="16" t="inlineStr">
        <is>
          <t>양호</t>
        </is>
      </c>
      <c r="H40" s="15" t="n"/>
      <c r="I40" s="12">
        <f>IF(COUNTIF($F40:$F40,"N/A")=COUNTA($F40:$F40),"N/A",$J40/(COUNTA($F40:$F40)-$L40))</f>
        <v/>
      </c>
      <c r="J40" s="9">
        <f>COUNTIF($F40:$F40,"양호")</f>
        <v/>
      </c>
      <c r="K40" s="9">
        <f>COUNTIF($F40:$F40,"취약")</f>
        <v/>
      </c>
      <c r="L40" s="9">
        <f>COUNTIF($F40:$F40,"N/A")</f>
        <v/>
      </c>
    </row>
    <row r="41">
      <c r="B41" s="15" t="n"/>
      <c r="C41" s="9" t="inlineStr">
        <is>
          <t>W-36</t>
        </is>
      </c>
      <c r="D41" s="2" t="inlineStr">
        <is>
          <t>원격터미널 접속 타임아웃 설정</t>
        </is>
      </c>
      <c r="E41" s="9" t="inlineStr">
        <is>
          <t>중</t>
        </is>
      </c>
      <c r="F41" s="16" t="inlineStr">
        <is>
          <t>양호</t>
        </is>
      </c>
      <c r="H41" s="15" t="n"/>
      <c r="I41" s="12">
        <f>IF(COUNTIF($F41:$F41,"N/A")=COUNTA($F41:$F41),"N/A",$J41/(COUNTA($F41:$F41)-$L41))</f>
        <v/>
      </c>
      <c r="J41" s="9">
        <f>COUNTIF($F41:$F41,"양호")</f>
        <v/>
      </c>
      <c r="K41" s="9">
        <f>COUNTIF($F41:$F41,"취약")</f>
        <v/>
      </c>
      <c r="L41" s="9">
        <f>COUNTIF($F41:$F41,"N/A")</f>
        <v/>
      </c>
    </row>
    <row r="42">
      <c r="B42" s="15" t="n"/>
      <c r="C42" s="9" t="inlineStr">
        <is>
          <t>W-37</t>
        </is>
      </c>
      <c r="D42" s="2" t="inlineStr">
        <is>
          <t>예약된 작업에 의심스러운 명령 등록 점검</t>
        </is>
      </c>
      <c r="E42" s="9" t="inlineStr">
        <is>
          <t>상</t>
        </is>
      </c>
      <c r="F42" s="17" t="inlineStr">
        <is>
          <t>N/A</t>
        </is>
      </c>
      <c r="H42" s="15" t="n"/>
      <c r="I42" s="12">
        <f>IF(COUNTIF($F42:$F42,"N/A")=COUNTA($F42:$F42),"N/A",$J42/(COUNTA($F42:$F42)-$L42))</f>
        <v/>
      </c>
      <c r="J42" s="9">
        <f>COUNTIF($F42:$F42,"양호")</f>
        <v/>
      </c>
      <c r="K42" s="9">
        <f>COUNTIF($F42:$F42,"취약")</f>
        <v/>
      </c>
      <c r="L42" s="9">
        <f>COUNTIF($F42:$F42,"N/A")</f>
        <v/>
      </c>
    </row>
    <row r="43">
      <c r="B43" s="9" t="inlineStr">
        <is>
          <t>패치 관리</t>
        </is>
      </c>
      <c r="C43" s="9" t="inlineStr">
        <is>
          <t>W-38</t>
        </is>
      </c>
      <c r="D43" s="2" t="inlineStr">
        <is>
          <t>주기적 보안 패치 및 벤더 권고사항 적용</t>
        </is>
      </c>
      <c r="E43" s="9" t="inlineStr">
        <is>
          <t>상</t>
        </is>
      </c>
      <c r="F43" s="17" t="inlineStr">
        <is>
          <t>N/A</t>
        </is>
      </c>
      <c r="H43" s="12">
        <f>IF(COUNTIF(I43:I44,"N/A")=COUNTA(I43:I44),"N/A",AVERAGE(I43:I44))</f>
        <v/>
      </c>
      <c r="I43" s="12">
        <f>IF(COUNTIF($F43:$F43,"N/A")=COUNTA($F43:$F43),"N/A",$J43/(COUNTA($F43:$F43)-$L43))</f>
        <v/>
      </c>
      <c r="J43" s="9">
        <f>COUNTIF($F43:$F43,"양호")</f>
        <v/>
      </c>
      <c r="K43" s="9">
        <f>COUNTIF($F43:$F43,"취약")</f>
        <v/>
      </c>
      <c r="L43" s="9">
        <f>COUNTIF($F43:$F43,"N/A")</f>
        <v/>
      </c>
    </row>
    <row r="44">
      <c r="B44" s="15" t="n"/>
      <c r="C44" s="9" t="inlineStr">
        <is>
          <t>W-39</t>
        </is>
      </c>
      <c r="D44" s="2" t="inlineStr">
        <is>
          <t>백신 프로그램 업데이트</t>
        </is>
      </c>
      <c r="E44" s="9" t="inlineStr">
        <is>
          <t>상</t>
        </is>
      </c>
      <c r="F44" s="17" t="inlineStr">
        <is>
          <t>N/A</t>
        </is>
      </c>
      <c r="H44" s="15" t="n"/>
      <c r="I44" s="12">
        <f>IF(COUNTIF($F44:$F44,"N/A")=COUNTA($F44:$F44),"N/A",$J44/(COUNTA($F44:$F44)-$L44))</f>
        <v/>
      </c>
      <c r="J44" s="9">
        <f>COUNTIF($F44:$F44,"양호")</f>
        <v/>
      </c>
      <c r="K44" s="9">
        <f>COUNTIF($F44:$F44,"취약")</f>
        <v/>
      </c>
      <c r="L44" s="9">
        <f>COUNTIF($F44:$F44,"N/A")</f>
        <v/>
      </c>
    </row>
    <row r="45">
      <c r="B45" s="9" t="inlineStr">
        <is>
          <t>로그 관리</t>
        </is>
      </c>
      <c r="C45" s="9" t="inlineStr">
        <is>
          <t>W-40</t>
        </is>
      </c>
      <c r="D45" s="2" t="inlineStr">
        <is>
          <t>정책에 따른 시스템 로깅 설정</t>
        </is>
      </c>
      <c r="E45" s="9" t="inlineStr">
        <is>
          <t>중</t>
        </is>
      </c>
      <c r="F45" s="16" t="inlineStr">
        <is>
          <t>양호</t>
        </is>
      </c>
      <c r="H45" s="12">
        <f>IF(COUNTIF(I45:I48,"N/A")=COUNTA(I45:I48),"N/A",AVERAGE(I45:I48))</f>
        <v/>
      </c>
      <c r="I45" s="12">
        <f>IF(COUNTIF($F45:$F45,"N/A")=COUNTA($F45:$F45),"N/A",$J45/(COUNTA($F45:$F45)-$L45))</f>
        <v/>
      </c>
      <c r="J45" s="9">
        <f>COUNTIF($F45:$F45,"양호")</f>
        <v/>
      </c>
      <c r="K45" s="9">
        <f>COUNTIF($F45:$F45,"취약")</f>
        <v/>
      </c>
      <c r="L45" s="9">
        <f>COUNTIF($F45:$F45,"N/A")</f>
        <v/>
      </c>
    </row>
    <row r="46">
      <c r="B46" s="15" t="n"/>
      <c r="C46" s="9" t="inlineStr">
        <is>
          <t>W-41</t>
        </is>
      </c>
      <c r="D46" s="2" t="inlineStr">
        <is>
          <t>NTP 및 시각 동기화 설정</t>
        </is>
      </c>
      <c r="E46" s="9" t="inlineStr">
        <is>
          <t>중</t>
        </is>
      </c>
      <c r="F46" s="16" t="inlineStr">
        <is>
          <t>양호</t>
        </is>
      </c>
      <c r="H46" s="15" t="n"/>
      <c r="I46" s="12">
        <f>IF(COUNTIF($F46:$F46,"N/A")=COUNTA($F46:$F46),"N/A",$J46/(COUNTA($F46:$F46)-$L46))</f>
        <v/>
      </c>
      <c r="J46" s="9">
        <f>COUNTIF($F46:$F46,"양호")</f>
        <v/>
      </c>
      <c r="K46" s="9">
        <f>COUNTIF($F46:$F46,"취약")</f>
        <v/>
      </c>
      <c r="L46" s="9">
        <f>COUNTIF($F46:$F46,"N/A")</f>
        <v/>
      </c>
    </row>
    <row r="47">
      <c r="B47" s="15" t="n"/>
      <c r="C47" s="9" t="inlineStr">
        <is>
          <t>W-42</t>
        </is>
      </c>
      <c r="D47" s="2" t="inlineStr">
        <is>
          <t>로그 관리 설정</t>
        </is>
      </c>
      <c r="E47" s="9" t="inlineStr">
        <is>
          <t>하</t>
        </is>
      </c>
      <c r="F47" s="16" t="inlineStr">
        <is>
          <t>양호</t>
        </is>
      </c>
      <c r="H47" s="15" t="n"/>
      <c r="I47" s="12">
        <f>IF(COUNTIF($F47:$F47,"N/A")=COUNTA($F47:$F47),"N/A",$J47/(COUNTA($F47:$F47)-$L47))</f>
        <v/>
      </c>
      <c r="J47" s="9">
        <f>COUNTIF($F47:$F47,"양호")</f>
        <v/>
      </c>
      <c r="K47" s="9">
        <f>COUNTIF($F47:$F47,"취약")</f>
        <v/>
      </c>
      <c r="L47" s="9">
        <f>COUNTIF($F47:$F47,"N/A")</f>
        <v/>
      </c>
    </row>
    <row r="48">
      <c r="B48" s="15" t="n"/>
      <c r="C48" s="9" t="inlineStr">
        <is>
          <t>W-43</t>
        </is>
      </c>
      <c r="D48" s="2" t="inlineStr">
        <is>
          <t>이벤트 로그 파일 접근 통제 설정</t>
        </is>
      </c>
      <c r="E48" s="9" t="inlineStr">
        <is>
          <t>중</t>
        </is>
      </c>
      <c r="F48" s="16" t="inlineStr">
        <is>
          <t>양호</t>
        </is>
      </c>
      <c r="H48" s="15" t="n"/>
      <c r="I48" s="12">
        <f>IF(COUNTIF($F48:$F48,"N/A")=COUNTA($F48:$F48),"N/A",$J48/(COUNTA($F48:$F48)-$L48))</f>
        <v/>
      </c>
      <c r="J48" s="9">
        <f>COUNTIF($F48:$F48,"양호")</f>
        <v/>
      </c>
      <c r="K48" s="9">
        <f>COUNTIF($F48:$F48,"취약")</f>
        <v/>
      </c>
      <c r="L48" s="9">
        <f>COUNTIF($F48:$F48,"N/A")</f>
        <v/>
      </c>
    </row>
    <row r="49">
      <c r="B49" s="9" t="inlineStr">
        <is>
          <t>보안 관리</t>
        </is>
      </c>
      <c r="C49" s="9" t="inlineStr">
        <is>
          <t>W-44</t>
        </is>
      </c>
      <c r="D49" s="2" t="inlineStr">
        <is>
          <t>원격으로 액세스할 수 있는 레지스트리 경로 제한</t>
        </is>
      </c>
      <c r="E49" s="9" t="inlineStr">
        <is>
          <t>상</t>
        </is>
      </c>
      <c r="F49" s="16" t="inlineStr">
        <is>
          <t>양호</t>
        </is>
      </c>
      <c r="H49" s="12">
        <f>IF(COUNTIF(I49:I69,"N/A")=COUNTA(I49:I69),"N/A",AVERAGE(I49:I69))</f>
        <v/>
      </c>
      <c r="I49" s="12">
        <f>IF(COUNTIF($F49:$F49,"N/A")=COUNTA($F49:$F49),"N/A",$J49/(COUNTA($F49:$F49)-$L49))</f>
        <v/>
      </c>
      <c r="J49" s="9">
        <f>COUNTIF($F49:$F49,"양호")</f>
        <v/>
      </c>
      <c r="K49" s="9">
        <f>COUNTIF($F49:$F49,"취약")</f>
        <v/>
      </c>
      <c r="L49" s="9">
        <f>COUNTIF($F49:$F49,"N/A")</f>
        <v/>
      </c>
    </row>
    <row r="50">
      <c r="B50" s="15" t="n"/>
      <c r="C50" s="9" t="inlineStr">
        <is>
          <t>W-45</t>
        </is>
      </c>
      <c r="D50" s="2" t="inlineStr">
        <is>
          <t>백신 프로그램 설치</t>
        </is>
      </c>
      <c r="E50" s="9" t="inlineStr">
        <is>
          <t>상</t>
        </is>
      </c>
      <c r="F50" s="16" t="inlineStr">
        <is>
          <t>양호</t>
        </is>
      </c>
      <c r="H50" s="15" t="n"/>
      <c r="I50" s="12">
        <f>IF(COUNTIF($F50:$F50,"N/A")=COUNTA($F50:$F50),"N/A",$J50/(COUNTA($F50:$F50)-$L50))</f>
        <v/>
      </c>
      <c r="J50" s="9">
        <f>COUNTIF($F50:$F50,"양호")</f>
        <v/>
      </c>
      <c r="K50" s="9">
        <f>COUNTIF($F50:$F50,"취약")</f>
        <v/>
      </c>
      <c r="L50" s="9">
        <f>COUNTIF($F50:$F50,"N/A")</f>
        <v/>
      </c>
    </row>
    <row r="51">
      <c r="B51" s="15" t="n"/>
      <c r="C51" s="9" t="inlineStr">
        <is>
          <t>W-46</t>
        </is>
      </c>
      <c r="D51" s="2" t="inlineStr">
        <is>
          <t>SAM 파일 접근 통제 설정</t>
        </is>
      </c>
      <c r="E51" s="9" t="inlineStr">
        <is>
          <t>상</t>
        </is>
      </c>
      <c r="F51" s="16" t="inlineStr">
        <is>
          <t>양호</t>
        </is>
      </c>
      <c r="H51" s="15" t="n"/>
      <c r="I51" s="12">
        <f>IF(COUNTIF($F51:$F51,"N/A")=COUNTA($F51:$F51),"N/A",$J51/(COUNTA($F51:$F51)-$L51))</f>
        <v/>
      </c>
      <c r="J51" s="9">
        <f>COUNTIF($F51:$F51,"양호")</f>
        <v/>
      </c>
      <c r="K51" s="9">
        <f>COUNTIF($F51:$F51,"취약")</f>
        <v/>
      </c>
      <c r="L51" s="9">
        <f>COUNTIF($F51:$F51,"N/A")</f>
        <v/>
      </c>
    </row>
    <row r="52">
      <c r="B52" s="15" t="n"/>
      <c r="C52" s="9" t="inlineStr">
        <is>
          <t>W-47</t>
        </is>
      </c>
      <c r="D52" s="2" t="inlineStr">
        <is>
          <t>화면보호기 설정</t>
        </is>
      </c>
      <c r="E52" s="9" t="inlineStr">
        <is>
          <t>상</t>
        </is>
      </c>
      <c r="F52" s="16" t="inlineStr">
        <is>
          <t>양호</t>
        </is>
      </c>
      <c r="H52" s="15" t="n"/>
      <c r="I52" s="12">
        <f>IF(COUNTIF($F52:$F52,"N/A")=COUNTA($F52:$F52),"N/A",$J52/(COUNTA($F52:$F52)-$L52))</f>
        <v/>
      </c>
      <c r="J52" s="9">
        <f>COUNTIF($F52:$F52,"양호")</f>
        <v/>
      </c>
      <c r="K52" s="9">
        <f>COUNTIF($F52:$F52,"취약")</f>
        <v/>
      </c>
      <c r="L52" s="9">
        <f>COUNTIF($F52:$F52,"N/A")</f>
        <v/>
      </c>
    </row>
    <row r="53">
      <c r="B53" s="15" t="n"/>
      <c r="C53" s="9" t="inlineStr">
        <is>
          <t>W-48</t>
        </is>
      </c>
      <c r="D53" s="2" t="inlineStr">
        <is>
          <t>로그온하지 않고 시스템 종료 허용 해제</t>
        </is>
      </c>
      <c r="E53" s="9" t="inlineStr">
        <is>
          <t>상</t>
        </is>
      </c>
      <c r="F53" s="16" t="inlineStr">
        <is>
          <t>양호</t>
        </is>
      </c>
      <c r="H53" s="15" t="n"/>
      <c r="I53" s="12">
        <f>IF(COUNTIF($F53:$F53,"N/A")=COUNTA($F53:$F53),"N/A",$J53/(COUNTA($F53:$F53)-$L53))</f>
        <v/>
      </c>
      <c r="J53" s="9">
        <f>COUNTIF($F53:$F53,"양호")</f>
        <v/>
      </c>
      <c r="K53" s="9">
        <f>COUNTIF($F53:$F53,"취약")</f>
        <v/>
      </c>
      <c r="L53" s="9">
        <f>COUNTIF($F53:$F53,"N/A")</f>
        <v/>
      </c>
    </row>
    <row r="54">
      <c r="B54" s="15" t="n"/>
      <c r="C54" s="9" t="inlineStr">
        <is>
          <t>W-49</t>
        </is>
      </c>
      <c r="D54" s="2" t="inlineStr">
        <is>
          <t>원격 시스템에서 강제로 시스템 종료 제한</t>
        </is>
      </c>
      <c r="E54" s="9" t="inlineStr">
        <is>
          <t>상</t>
        </is>
      </c>
      <c r="F54" s="16" t="inlineStr">
        <is>
          <t>양호</t>
        </is>
      </c>
      <c r="H54" s="15" t="n"/>
      <c r="I54" s="12">
        <f>IF(COUNTIF($F54:$F54,"N/A")=COUNTA($F54:$F54),"N/A",$J54/(COUNTA($F54:$F54)-$L54))</f>
        <v/>
      </c>
      <c r="J54" s="9">
        <f>COUNTIF($F54:$F54,"양호")</f>
        <v/>
      </c>
      <c r="K54" s="9">
        <f>COUNTIF($F54:$F54,"취약")</f>
        <v/>
      </c>
      <c r="L54" s="9">
        <f>COUNTIF($F54:$F54,"N/A")</f>
        <v/>
      </c>
    </row>
    <row r="55">
      <c r="B55" s="15" t="n"/>
      <c r="C55" s="9" t="inlineStr">
        <is>
          <t>W-50</t>
        </is>
      </c>
      <c r="D55" s="2" t="inlineStr">
        <is>
          <t>보안 감사를 로그할 수 없는 경우 즉시 시스템 종료</t>
        </is>
      </c>
      <c r="E55" s="9" t="inlineStr">
        <is>
          <t>상</t>
        </is>
      </c>
      <c r="F55" s="16" t="inlineStr">
        <is>
          <t>양호</t>
        </is>
      </c>
      <c r="H55" s="15" t="n"/>
      <c r="I55" s="12">
        <f>IF(COUNTIF($F55:$F55,"N/A")=COUNTA($F55:$F55),"N/A",$J55/(COUNTA($F55:$F55)-$L55))</f>
        <v/>
      </c>
      <c r="J55" s="9">
        <f>COUNTIF($F55:$F55,"양호")</f>
        <v/>
      </c>
      <c r="K55" s="9">
        <f>COUNTIF($F55:$F55,"취약")</f>
        <v/>
      </c>
      <c r="L55" s="9">
        <f>COUNTIF($F55:$F55,"N/A")</f>
        <v/>
      </c>
    </row>
    <row r="56">
      <c r="B56" s="15" t="n"/>
      <c r="C56" s="9" t="inlineStr">
        <is>
          <t>W-51</t>
        </is>
      </c>
      <c r="D56" s="2" t="inlineStr">
        <is>
          <t>SAM 계정과 공유의 익명 열거 허용 안 함</t>
        </is>
      </c>
      <c r="E56" s="9" t="inlineStr">
        <is>
          <t>상</t>
        </is>
      </c>
      <c r="F56" s="16" t="inlineStr">
        <is>
          <t>양호</t>
        </is>
      </c>
      <c r="H56" s="15" t="n"/>
      <c r="I56" s="12">
        <f>IF(COUNTIF($F56:$F56,"N/A")=COUNTA($F56:$F56),"N/A",$J56/(COUNTA($F56:$F56)-$L56))</f>
        <v/>
      </c>
      <c r="J56" s="9">
        <f>COUNTIF($F56:$F56,"양호")</f>
        <v/>
      </c>
      <c r="K56" s="9">
        <f>COUNTIF($F56:$F56,"취약")</f>
        <v/>
      </c>
      <c r="L56" s="9">
        <f>COUNTIF($F56:$F56,"N/A")</f>
        <v/>
      </c>
    </row>
    <row r="57">
      <c r="B57" s="15" t="n"/>
      <c r="C57" s="9" t="inlineStr">
        <is>
          <t>W-52</t>
        </is>
      </c>
      <c r="D57" s="2" t="inlineStr">
        <is>
          <t>Autologon 기능 제어</t>
        </is>
      </c>
      <c r="E57" s="9" t="inlineStr">
        <is>
          <t>상</t>
        </is>
      </c>
      <c r="F57" s="16" t="inlineStr">
        <is>
          <t>양호</t>
        </is>
      </c>
      <c r="H57" s="15" t="n"/>
      <c r="I57" s="12">
        <f>IF(COUNTIF($F57:$F57,"N/A")=COUNTA($F57:$F57),"N/A",$J57/(COUNTA($F57:$F57)-$L57))</f>
        <v/>
      </c>
      <c r="J57" s="9">
        <f>COUNTIF($F57:$F57,"양호")</f>
        <v/>
      </c>
      <c r="K57" s="9">
        <f>COUNTIF($F57:$F57,"취약")</f>
        <v/>
      </c>
      <c r="L57" s="9">
        <f>COUNTIF($F57:$F57,"N/A")</f>
        <v/>
      </c>
    </row>
    <row r="58">
      <c r="B58" s="15" t="n"/>
      <c r="C58" s="9" t="inlineStr">
        <is>
          <t>W-53</t>
        </is>
      </c>
      <c r="D58" s="2" t="inlineStr">
        <is>
          <t>이동식 미디어 포맷 및 꺼내기 허용 제한</t>
        </is>
      </c>
      <c r="E58" s="9" t="inlineStr">
        <is>
          <t>상</t>
        </is>
      </c>
      <c r="F58" s="16" t="inlineStr">
        <is>
          <t>양호</t>
        </is>
      </c>
      <c r="H58" s="15" t="n"/>
      <c r="I58" s="12">
        <f>IF(COUNTIF($F58:$F58,"N/A")=COUNTA($F58:$F58),"N/A",$J58/(COUNTA($F58:$F58)-$L58))</f>
        <v/>
      </c>
      <c r="J58" s="9">
        <f>COUNTIF($F58:$F58,"양호")</f>
        <v/>
      </c>
      <c r="K58" s="9">
        <f>COUNTIF($F58:$F58,"취약")</f>
        <v/>
      </c>
      <c r="L58" s="9">
        <f>COUNTIF($F58:$F58,"N/A")</f>
        <v/>
      </c>
    </row>
    <row r="59">
      <c r="B59" s="15" t="n"/>
      <c r="C59" s="9" t="inlineStr">
        <is>
          <t>W-54</t>
        </is>
      </c>
      <c r="D59" s="2" t="inlineStr">
        <is>
          <t>DoS 공격 방어 레지스트리 설정</t>
        </is>
      </c>
      <c r="E59" s="9" t="inlineStr">
        <is>
          <t>상</t>
        </is>
      </c>
      <c r="F59" s="16" t="inlineStr">
        <is>
          <t>양호</t>
        </is>
      </c>
      <c r="H59" s="15" t="n"/>
      <c r="I59" s="12">
        <f>IF(COUNTIF($F59:$F59,"N/A")=COUNTA($F59:$F59),"N/A",$J59/(COUNTA($F59:$F59)-$L59))</f>
        <v/>
      </c>
      <c r="J59" s="9">
        <f>COUNTIF($F59:$F59,"양호")</f>
        <v/>
      </c>
      <c r="K59" s="9">
        <f>COUNTIF($F59:$F59,"취약")</f>
        <v/>
      </c>
      <c r="L59" s="9">
        <f>COUNTIF($F59:$F59,"N/A")</f>
        <v/>
      </c>
    </row>
    <row r="60">
      <c r="B60" s="15" t="n"/>
      <c r="C60" s="9" t="inlineStr">
        <is>
          <t>W-55</t>
        </is>
      </c>
      <c r="D60" s="2" t="inlineStr">
        <is>
          <t>사용자가 프린터 드라이버를 설치할 수 없게 함</t>
        </is>
      </c>
      <c r="E60" s="9" t="inlineStr">
        <is>
          <t>중</t>
        </is>
      </c>
      <c r="F60" s="14" t="inlineStr">
        <is>
          <t>취약</t>
        </is>
      </c>
      <c r="H60" s="15" t="n"/>
      <c r="I60" s="12">
        <f>IF(COUNTIF($F60:$F60,"N/A")=COUNTA($F60:$F60),"N/A",$J60/(COUNTA($F60:$F60)-$L60))</f>
        <v/>
      </c>
      <c r="J60" s="9">
        <f>COUNTIF($F60:$F60,"양호")</f>
        <v/>
      </c>
      <c r="K60" s="9">
        <f>COUNTIF($F60:$F60,"취약")</f>
        <v/>
      </c>
      <c r="L60" s="9">
        <f>COUNTIF($F60:$F60,"N/A")</f>
        <v/>
      </c>
    </row>
    <row r="61">
      <c r="B61" s="15" t="n"/>
      <c r="C61" s="9" t="inlineStr">
        <is>
          <t>W-56</t>
        </is>
      </c>
      <c r="D61" s="2" t="inlineStr">
        <is>
          <t>SMB 세션 중단 관리 설정</t>
        </is>
      </c>
      <c r="E61" s="9" t="inlineStr">
        <is>
          <t>중</t>
        </is>
      </c>
      <c r="F61" s="16" t="inlineStr">
        <is>
          <t>양호</t>
        </is>
      </c>
      <c r="H61" s="15" t="n"/>
      <c r="I61" s="12">
        <f>IF(COUNTIF($F61:$F61,"N/A")=COUNTA($F61:$F61),"N/A",$J61/(COUNTA($F61:$F61)-$L61))</f>
        <v/>
      </c>
      <c r="J61" s="9">
        <f>COUNTIF($F61:$F61,"양호")</f>
        <v/>
      </c>
      <c r="K61" s="9">
        <f>COUNTIF($F61:$F61,"취약")</f>
        <v/>
      </c>
      <c r="L61" s="9">
        <f>COUNTIF($F61:$F61,"N/A")</f>
        <v/>
      </c>
    </row>
    <row r="62">
      <c r="B62" s="15" t="n"/>
      <c r="C62" s="9" t="inlineStr">
        <is>
          <t>W-57</t>
        </is>
      </c>
      <c r="D62" s="2" t="inlineStr">
        <is>
          <t>로그온 시 경고 메시지 설정</t>
        </is>
      </c>
      <c r="E62" s="9" t="inlineStr">
        <is>
          <t>하</t>
        </is>
      </c>
      <c r="F62" s="16" t="inlineStr">
        <is>
          <t>양호</t>
        </is>
      </c>
      <c r="H62" s="15" t="n"/>
      <c r="I62" s="12">
        <f>IF(COUNTIF($F62:$F62,"N/A")=COUNTA($F62:$F62),"N/A",$J62/(COUNTA($F62:$F62)-$L62))</f>
        <v/>
      </c>
      <c r="J62" s="9">
        <f>COUNTIF($F62:$F62,"양호")</f>
        <v/>
      </c>
      <c r="K62" s="9">
        <f>COUNTIF($F62:$F62,"취약")</f>
        <v/>
      </c>
      <c r="L62" s="9">
        <f>COUNTIF($F62:$F62,"N/A")</f>
        <v/>
      </c>
    </row>
    <row r="63">
      <c r="B63" s="15" t="n"/>
      <c r="C63" s="9" t="inlineStr">
        <is>
          <t>W-58</t>
        </is>
      </c>
      <c r="D63" s="2" t="inlineStr">
        <is>
          <t>사용자별 홈 디렉터리 권한 설정</t>
        </is>
      </c>
      <c r="E63" s="9" t="inlineStr">
        <is>
          <t>중</t>
        </is>
      </c>
      <c r="F63" s="16" t="inlineStr">
        <is>
          <t>양호</t>
        </is>
      </c>
      <c r="H63" s="15" t="n"/>
      <c r="I63" s="12">
        <f>IF(COUNTIF($F63:$F63,"N/A")=COUNTA($F63:$F63),"N/A",$J63/(COUNTA($F63:$F63)-$L63))</f>
        <v/>
      </c>
      <c r="J63" s="9">
        <f>COUNTIF($F63:$F63,"양호")</f>
        <v/>
      </c>
      <c r="K63" s="9">
        <f>COUNTIF($F63:$F63,"취약")</f>
        <v/>
      </c>
      <c r="L63" s="9">
        <f>COUNTIF($F63:$F63,"N/A")</f>
        <v/>
      </c>
    </row>
    <row r="64">
      <c r="B64" s="15" t="n"/>
      <c r="C64" s="9" t="inlineStr">
        <is>
          <t>W-59</t>
        </is>
      </c>
      <c r="D64" s="2" t="inlineStr">
        <is>
          <t>LAN Manager 인증 수준</t>
        </is>
      </c>
      <c r="E64" s="9" t="inlineStr">
        <is>
          <t>중</t>
        </is>
      </c>
      <c r="F64" s="16" t="inlineStr">
        <is>
          <t>양호</t>
        </is>
      </c>
      <c r="H64" s="15" t="n"/>
      <c r="I64" s="12">
        <f>IF(COUNTIF($F64:$F64,"N/A")=COUNTA($F64:$F64),"N/A",$J64/(COUNTA($F64:$F64)-$L64))</f>
        <v/>
      </c>
      <c r="J64" s="9">
        <f>COUNTIF($F64:$F64,"양호")</f>
        <v/>
      </c>
      <c r="K64" s="9">
        <f>COUNTIF($F64:$F64,"취약")</f>
        <v/>
      </c>
      <c r="L64" s="9">
        <f>COUNTIF($F64:$F64,"N/A")</f>
        <v/>
      </c>
    </row>
    <row r="65">
      <c r="B65" s="15" t="n"/>
      <c r="C65" s="9" t="inlineStr">
        <is>
          <t>W-60</t>
        </is>
      </c>
      <c r="D65" s="2" t="inlineStr">
        <is>
          <t>보안 채널 데이터 디지털 암호화 또는 서명</t>
        </is>
      </c>
      <c r="E65" s="9" t="inlineStr">
        <is>
          <t>중</t>
        </is>
      </c>
      <c r="F65" s="16" t="inlineStr">
        <is>
          <t>양호</t>
        </is>
      </c>
      <c r="H65" s="15" t="n"/>
      <c r="I65" s="12">
        <f>IF(COUNTIF($F65:$F65,"N/A")=COUNTA($F65:$F65),"N/A",$J65/(COUNTA($F65:$F65)-$L65))</f>
        <v/>
      </c>
      <c r="J65" s="9">
        <f>COUNTIF($F65:$F65,"양호")</f>
        <v/>
      </c>
      <c r="K65" s="9">
        <f>COUNTIF($F65:$F65,"취약")</f>
        <v/>
      </c>
      <c r="L65" s="9">
        <f>COUNTIF($F65:$F65,"N/A")</f>
        <v/>
      </c>
    </row>
    <row r="66">
      <c r="B66" s="15" t="n"/>
      <c r="C66" s="9" t="inlineStr">
        <is>
          <t>W-61</t>
        </is>
      </c>
      <c r="D66" s="2" t="inlineStr">
        <is>
          <t>파일 및 디렉터리 보호</t>
        </is>
      </c>
      <c r="E66" s="9" t="inlineStr">
        <is>
          <t>중</t>
        </is>
      </c>
      <c r="F66" s="16" t="inlineStr">
        <is>
          <t>양호</t>
        </is>
      </c>
      <c r="H66" s="15" t="n"/>
      <c r="I66" s="12">
        <f>IF(COUNTIF($F66:$F66,"N/A")=COUNTA($F66:$F66),"N/A",$J66/(COUNTA($F66:$F66)-$L66))</f>
        <v/>
      </c>
      <c r="J66" s="9">
        <f>COUNTIF($F66:$F66,"양호")</f>
        <v/>
      </c>
      <c r="K66" s="9">
        <f>COUNTIF($F66:$F66,"취약")</f>
        <v/>
      </c>
      <c r="L66" s="9">
        <f>COUNTIF($F66:$F66,"N/A")</f>
        <v/>
      </c>
    </row>
    <row r="67">
      <c r="B67" s="15" t="n"/>
      <c r="C67" s="9" t="inlineStr">
        <is>
          <t>W-62</t>
        </is>
      </c>
      <c r="D67" s="2" t="inlineStr">
        <is>
          <t>시작프로그램 목록 분석</t>
        </is>
      </c>
      <c r="E67" s="9" t="inlineStr">
        <is>
          <t>중</t>
        </is>
      </c>
      <c r="F67" s="17" t="inlineStr">
        <is>
          <t>N/A</t>
        </is>
      </c>
      <c r="H67" s="15" t="n"/>
      <c r="I67" s="12">
        <f>IF(COUNTIF($F67:$F67,"N/A")=COUNTA($F67:$F67),"N/A",$J67/(COUNTA($F67:$F67)-$L67))</f>
        <v/>
      </c>
      <c r="J67" s="9">
        <f>COUNTIF($F67:$F67,"양호")</f>
        <v/>
      </c>
      <c r="K67" s="9">
        <f>COUNTIF($F67:$F67,"취약")</f>
        <v/>
      </c>
      <c r="L67" s="9">
        <f>COUNTIF($F67:$F67,"N/A")</f>
        <v/>
      </c>
    </row>
    <row r="68">
      <c r="B68" s="15" t="n"/>
      <c r="C68" s="9" t="inlineStr">
        <is>
          <t>W-63</t>
        </is>
      </c>
      <c r="D68" s="2" t="inlineStr">
        <is>
          <t>도메인 컨트롤러 사용자 시간 동기화</t>
        </is>
      </c>
      <c r="E68" s="9" t="inlineStr">
        <is>
          <t>중</t>
        </is>
      </c>
      <c r="F68" s="17" t="inlineStr">
        <is>
          <t>N/A</t>
        </is>
      </c>
      <c r="H68" s="15" t="n"/>
      <c r="I68" s="12">
        <f>IF(COUNTIF($F68:$F68,"N/A")=COUNTA($F68:$F68),"N/A",$J68/(COUNTA($F68:$F68)-$L68))</f>
        <v/>
      </c>
      <c r="J68" s="9">
        <f>COUNTIF($F68:$F68,"양호")</f>
        <v/>
      </c>
      <c r="K68" s="9">
        <f>COUNTIF($F68:$F68,"취약")</f>
        <v/>
      </c>
      <c r="L68" s="9">
        <f>COUNTIF($F68:$F68,"N/A")</f>
        <v/>
      </c>
    </row>
    <row r="69">
      <c r="B69" s="15" t="n"/>
      <c r="C69" s="9" t="inlineStr">
        <is>
          <t>W-64</t>
        </is>
      </c>
      <c r="D69" s="2" t="inlineStr">
        <is>
          <t>윈도우 방화벽 설정</t>
        </is>
      </c>
      <c r="E69" s="9" t="inlineStr">
        <is>
          <t>중</t>
        </is>
      </c>
      <c r="F69" s="16" t="inlineStr">
        <is>
          <t>양호</t>
        </is>
      </c>
      <c r="H69" s="15" t="n"/>
      <c r="I69" s="12">
        <f>IF(COUNTIF($F69:$F69,"N/A")=COUNTA($F69:$F69),"N/A",$J69/(COUNTA($F69:$F69)-$L69))</f>
        <v/>
      </c>
      <c r="J69" s="9">
        <f>COUNTIF($F69:$F69,"양호")</f>
        <v/>
      </c>
      <c r="K69" s="9">
        <f>COUNTIF($F69:$F69,"취약")</f>
        <v/>
      </c>
      <c r="L69" s="9">
        <f>COUNTIF($F69:$F69,"N/A")</f>
        <v/>
      </c>
    </row>
    <row r="70">
      <c r="B70" s="1" t="inlineStr">
        <is>
          <t>점검결과</t>
        </is>
      </c>
      <c r="C70" s="9" t="inlineStr">
        <is>
          <t>취약항목 개수</t>
        </is>
      </c>
      <c r="D70" s="9" t="n"/>
      <c r="E70" s="9" t="n"/>
      <c r="F70" s="18">
        <f>COUNTIF(F6:F69,"취약")</f>
        <v/>
      </c>
    </row>
    <row r="71">
      <c r="B71" s="9" t="n"/>
      <c r="C71" s="9" t="inlineStr">
        <is>
          <t>보안 적용율 (양호항목 / 진단항목) %</t>
        </is>
      </c>
      <c r="D71" s="9" t="n"/>
      <c r="E71" s="9" t="n"/>
      <c r="F71" s="12">
        <f>(COUNTIF(F6:F69,"양호"))/(COUNTA(F6:F69)-COUNTIF(F6:F69,"N/A"))</f>
        <v/>
      </c>
    </row>
  </sheetData>
  <mergeCells count="18">
    <mergeCell ref="H49:H69"/>
    <mergeCell ref="B43:B44"/>
    <mergeCell ref="H43:H44"/>
    <mergeCell ref="C71:E71"/>
    <mergeCell ref="B70:B71"/>
    <mergeCell ref="C3:C5"/>
    <mergeCell ref="H20:H42"/>
    <mergeCell ref="B6:B19"/>
    <mergeCell ref="B2:L2"/>
    <mergeCell ref="E3:E5"/>
    <mergeCell ref="C70:E70"/>
    <mergeCell ref="H6:H19"/>
    <mergeCell ref="B20:B42"/>
    <mergeCell ref="D3:D5"/>
    <mergeCell ref="B3:B5"/>
    <mergeCell ref="B45:B48"/>
    <mergeCell ref="H45:H48"/>
    <mergeCell ref="B49:B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48" customWidth="1" min="4" max="4"/>
    <col width="100" customWidth="1" min="5" max="5"/>
    <col width="6" customWidth="1" min="6" max="6"/>
    <col width="55" customWidth="1" min="7" max="7"/>
    <col width="55" customWidth="1" min="8" max="8"/>
  </cols>
  <sheetData>
    <row r="1"/>
    <row r="2" ht="26" customHeight="1">
      <c r="B2" s="13" t="inlineStr">
        <is>
          <t>Check방 취약점 진단 상세 진단결과 (64항목)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진단결과</t>
        </is>
      </c>
      <c r="G3" s="7" t="inlineStr">
        <is>
          <t>판단 근거</t>
        </is>
      </c>
      <c r="H3" s="7" t="inlineStr">
        <is>
          <t>조치 방법</t>
        </is>
      </c>
    </row>
    <row r="4">
      <c r="B4" s="8" t="n"/>
      <c r="C4" s="8" t="n"/>
      <c r="D4" s="8" t="n"/>
      <c r="E4" s="8" t="n"/>
      <c r="F4" s="8" t="n"/>
      <c r="G4" s="8" t="n"/>
      <c r="H4" s="8" t="n"/>
    </row>
    <row r="5">
      <c r="B5" s="8" t="n"/>
      <c r="C5" s="8" t="n"/>
      <c r="D5" s="8" t="n"/>
      <c r="E5" s="8" t="n"/>
      <c r="F5" s="8" t="n"/>
      <c r="G5" s="8" t="n"/>
      <c r="H5" s="8" t="n"/>
    </row>
    <row r="6">
      <c r="B6" s="9" t="inlineStr">
        <is>
          <t>계정 관리</t>
        </is>
      </c>
      <c r="C6" s="9" t="inlineStr">
        <is>
          <t>W-01</t>
        </is>
      </c>
      <c r="D6" s="2" t="inlineStr">
        <is>
          <t>Administrator 계정 이름 변경 등 보안성 강화</t>
        </is>
      </c>
      <c r="E6" s="2" t="inlineStr">
        <is>
          <t>양호 : Administrator 기본 계정 이름을 변경하거나 강화된 비밀번호를 적용한 경우
취약 : Administrator 기본 계정 이름을 변경하지 않거나 단순 비밀번호를 적용한 경우</t>
        </is>
      </c>
      <c r="F6" s="14" t="inlineStr">
        <is>
          <t>취약</t>
        </is>
      </c>
      <c r="G6" s="2" t="inlineStr">
        <is>
          <t>- 판단기준의 '양호: Administrator 기본 계정 이름을 변경한 경우'에 해당함
- 점검내용의 '관리자(-500) 계정명: admin' 라인에서 SID-500 계정명이 기본값 'Administrator'가 아닌 'admin'으로 변경되어 있음을 확인함
- 기본 계정명 변경 조건을 충족하므로 양호로 판정함</t>
        </is>
      </c>
      <c r="H6" s="2" t="inlineStr">
        <is>
          <t>Administrator 기본 계정 이름 변경 및 보안성이 있는 비밀번호 설정</t>
        </is>
      </c>
    </row>
    <row r="7">
      <c r="B7" s="15" t="n"/>
      <c r="C7" s="9" t="inlineStr">
        <is>
          <t>W-02</t>
        </is>
      </c>
      <c r="D7" s="2" t="inlineStr">
        <is>
          <t>Guest 계정 비활성화</t>
        </is>
      </c>
      <c r="E7" s="2" t="inlineStr">
        <is>
          <t>양호 : Guest 계정이 비활성화되어 있는 경우
취약 : Guest 계정이 활성화되어 있는 경우</t>
        </is>
      </c>
      <c r="F7" s="16" t="inlineStr">
        <is>
          <t>양호</t>
        </is>
      </c>
      <c r="G7" s="2" t="inlineStr">
        <is>
          <t>- 판단기준상 Guest 계정이 비활성화되어 있으면 '양호', 활성화되어 있으면 '취약'으로 판정함
- 점검내용 원시 라인 'Guest(Guest) 활성화 여부=False' 에서 Guest 계정의 활성화 여부가 False(비활성화)로 확인됨
- Guest 계정이 비활성화 상태이므로 판단기준의 양호 조건에 부합함</t>
        </is>
      </c>
      <c r="H7" s="2" t="inlineStr"/>
    </row>
    <row r="8">
      <c r="B8" s="15" t="n"/>
      <c r="C8" s="9" t="inlineStr">
        <is>
          <t>W-03</t>
        </is>
      </c>
      <c r="D8" s="2" t="inlineStr">
        <is>
          <t>불필요한 계정 제거</t>
        </is>
      </c>
      <c r="E8" s="2" t="inlineStr">
        <is>
          <t>양호 : 불필요한 계정이 존재하지 않는 경우
취약 : 불필요한 계정이 존재하는 경우</t>
        </is>
      </c>
      <c r="F8" s="17" t="inlineStr">
        <is>
          <t>N/A</t>
        </is>
      </c>
      <c r="G8" s="2" t="inlineStr">
        <is>
          <t>- 판단기준상 '불필요한 계정이 존재하지 않는 경우'에만 양호이며, 활성 로컬 계정으로 'mynameisad', 'remoteadmin' 두 개가 확인됨
- 두 계정 모두 Windows 표준 계정(Administrator, Guest, DefaultAccount 등)에 해당하지 않는 비표준 명칭으로, 용도가 명확히 식별되지 않는 의심 계정임
- 특히 'remoteadmin'은 원격 관리용으로 추정되는 별도 관리자 계정으로, 사용 근거가 확인되지 않아 불필요 계정 가능성이 높음
- 이상치(비표준 계정)가 존재하는 한 보수적으로 취약으로 판정함</t>
        </is>
      </c>
      <c r="H8" s="2" t="inlineStr">
        <is>
          <t>Administrator 기본 계정 이름 변경 및 보안성이 있는 비밀번호 설정</t>
        </is>
      </c>
    </row>
    <row r="9">
      <c r="B9" s="15" t="n"/>
      <c r="C9" s="9" t="inlineStr">
        <is>
          <t>W-04</t>
        </is>
      </c>
      <c r="D9" s="2" t="inlineStr">
        <is>
          <t>계정 잠금 임계값 설정</t>
        </is>
      </c>
      <c r="E9" s="2" t="inlineStr">
        <is>
          <t>양호 : 계정 잠금 임계값이 5 이하의 값으로 설정된 경우
취약 : 계정 잠금 임계값이 5 초과의 값으로 설정된 경우</t>
        </is>
      </c>
      <c r="F9" s="16" t="inlineStr">
        <is>
          <t>양호</t>
        </is>
      </c>
      <c r="G9" s="2" t="inlineStr">
        <is>
          <t>- 판단기준은 계정 잠금 임계값이 5 이하이면 양호, 5 초과이면 취약으로 규정함
- 점검내용(로우데이터)의 'LockoutBadCount=5' 라인은 계정 잠금 임계값이 5로 설정되어 있음을 나타냄
- 설정값 5는 기준값 5 이하(5를 포함)에 해당하므로 양호로 판정함</t>
        </is>
      </c>
      <c r="H9" s="2" t="inlineStr"/>
    </row>
    <row r="10">
      <c r="B10" s="15" t="n"/>
      <c r="C10" s="9" t="inlineStr">
        <is>
          <t>W-05</t>
        </is>
      </c>
      <c r="D10" s="2" t="inlineStr">
        <is>
          <t>해독 가능한 암호화를 사용하여 암호 저장 해제</t>
        </is>
      </c>
      <c r="E10" s="2" t="inlineStr">
        <is>
          <t>양호 : “해독 가능한 암호화를 사용하여 암호 저장” 정책이 “사용 안 함”으로 설정된 경우
취약 : “해독 가능한 암호화를 사용하여 암호 저장” 정책이 “사용”으로 설정된 경우</t>
        </is>
      </c>
      <c r="F10" s="16" t="inlineStr">
        <is>
          <t>양호</t>
        </is>
      </c>
      <c r="G10" s="2" t="inlineStr">
        <is>
          <t>- 판단기준의 양호 조건은 '해독 가능한 암호화를 사용하여 암호 저장' 정책이 '사용 안 함'으로 설정된 경우이다.
- 점검내용 로우데이터 'ClearTextPassword=0' 에서 값 0은 해당 정책이 '사용 안 함(비활성)'임을 의미한다.
- 정책이 '사용(ClearTextPassword=1)'이 아니므로 취약 조건에 해당하지 않아 양호로 판정한다.</t>
        </is>
      </c>
      <c r="H10" s="2" t="inlineStr"/>
    </row>
    <row r="11">
      <c r="B11" s="15" t="n"/>
      <c r="C11" s="9" t="inlineStr">
        <is>
          <t>W-06</t>
        </is>
      </c>
      <c r="D11" s="2" t="inlineStr">
        <is>
          <t>관리자(Administrators) 그룹에 최소한의 사용자 포함</t>
        </is>
      </c>
      <c r="E11" s="2" t="inlineStr">
        <is>
          <t>양호 : Administrators 그룹의 구성원을 1명 이하로 유지하거나, 불필요한 관리자 계정이 존재하지 않 는 경우
취약 : Administrators 그룹에 불필요한 관리자 계정이 존재하는 경우</t>
        </is>
      </c>
      <c r="F11" s="16" t="inlineStr">
        <is>
          <t>양호</t>
        </is>
      </c>
      <c r="G11" s="2" t="inlineStr">
        <is>
          <t>- 판단기준의 양호 조건은 'Administrators 그룹의 구성원을 1명 이하로 유지하거나 불필요한 관리자 계정이 존재하지 않는 경우'임
- 점검내용(로우데이터)의 '구성원: mynameisad' 라인에서 Administrators 그룹 구성원은 mynameisad 단일 계정으로, 구성원 수가 1명임
- 구성원이 1명 이하 조건을 충족하며, 점검내용상 추가로 식별되는 불필요한(비표준 추가) 관리자 계정이 없으므로 양호로 판정함</t>
        </is>
      </c>
      <c r="H11" s="2" t="inlineStr"/>
    </row>
    <row r="12">
      <c r="B12" s="15" t="n"/>
      <c r="C12" s="9" t="inlineStr">
        <is>
          <t>W-07</t>
        </is>
      </c>
      <c r="D12" s="2" t="inlineStr">
        <is>
          <t>Everyone 사용 권한을 익명 사용자에게 적용 해제</t>
        </is>
      </c>
      <c r="E12" s="2" t="inlineStr">
        <is>
          <t>양호 : “Everyone 사용 권한을 익명 사용자에게 적용” 정책이 “사용 안 함”으로 되어 있는 경우
취약 : “Everyone 사용 권한을 익명 사용자에게 적용” 정책이 “사용”으로 되어 있는 경우</t>
        </is>
      </c>
      <c r="F12" s="16" t="inlineStr">
        <is>
          <t>양호</t>
        </is>
      </c>
      <c r="G12" s="2" t="inlineStr">
        <is>
          <t>- 판단기준상 “Everyone 사용 권한을 익명 사용자에게 적용” 정책이 “사용 안 함”이면 양호이며, 레지스트리 값 0은 해당 정책의 비활성화(사용 안 함)를 의미함
- 점검내용(로우데이터)의 'Lsa\EveryoneIncludesAnonymous = 값=0'이 정책 “사용 안 함” 상태에 정확히 대응함
- 값이 1(사용)이 아니므로 익명 사용자에게 Everyone 권한이 적용되지 않아 취약 조건에 해당하지 않음</t>
        </is>
      </c>
      <c r="H12" s="2" t="inlineStr"/>
    </row>
    <row r="13">
      <c r="B13" s="15" t="n"/>
      <c r="C13" s="9" t="inlineStr">
        <is>
          <t>W-08</t>
        </is>
      </c>
      <c r="D13" s="2" t="inlineStr">
        <is>
          <t>계정 잠금 기간 설정</t>
        </is>
      </c>
      <c r="E13" s="2" t="inlineStr">
        <is>
          <t>양호 : “계정 잠금 기간” 및 “계정 잠금 기간 원래대로 설정 기간”이 60분 이상으로 설정된 경우
취약 : “계정 잠금 기간” 및 “잠금 기간 원래대로 설정 기간”이 설정되지 않거나 60분 미만으로 설정된 경우</t>
        </is>
      </c>
      <c r="F13" s="16" t="inlineStr">
        <is>
          <t>양호</t>
        </is>
      </c>
      <c r="G13" s="2" t="inlineStr">
        <is>
          <t>- 판단기준상 '계정 잠금 기간'이 60분 이상이어야 양호이며, 점검내용의 LockoutDuration=70 분으로 60분 이상 조건을 충족함
- 70분은 잠금 기간 원래대로 설정 기간 기준(60분 이상)에도 부합하여 미설정·60분 미만의 취약 조건에 해당하지 않음</t>
        </is>
      </c>
      <c r="H13" s="2" t="inlineStr"/>
    </row>
    <row r="14">
      <c r="B14" s="15" t="n"/>
      <c r="C14" s="9" t="inlineStr">
        <is>
          <t>W-09</t>
        </is>
      </c>
      <c r="D14" s="2" t="inlineStr">
        <is>
          <t>비밀번호 관리정책 설정</t>
        </is>
      </c>
      <c r="E14" s="2" t="inlineStr">
        <is>
          <t>양호 : 계정 비밀번호 관리 정책이 모두 적용된 경우
취약 : 계정 비밀번호 관리 정책이 모두 적용되어 있지 않은 경우</t>
        </is>
      </c>
      <c r="F14" s="16" t="inlineStr">
        <is>
          <t>양호</t>
        </is>
      </c>
      <c r="G14" s="2" t="inlineStr">
        <is>
          <t>- 최소 길이 기준(&gt;=8)과 점검내용 MinLen=8 대응: 8 이상이므로 충족
- 복잡도 기준(=1)과 점검내용 Complexity=1 대응: 사용 설정으로 충족
- 최대 사용기간 기준(&lt;=90)과 점검내용 MaxAge=90 대응: 90 이하이므로 충족
- 최소 사용기간 기준(&gt;=1)과 점검내용 MinAge=1 대응: 1 이상이므로 충족
- 비밀번호 기억(History) 기준(&gt;=4)과 점검내용 History=4 대응: 4 이상이므로 충족
- 다섯 가지 비밀번호 관리 정책이 모두 기준을 만족하여 양호로 판정</t>
        </is>
      </c>
      <c r="H14" s="2" t="inlineStr"/>
    </row>
    <row r="15">
      <c r="B15" s="15" t="n"/>
      <c r="C15" s="9" t="inlineStr">
        <is>
          <t>W-10</t>
        </is>
      </c>
      <c r="D15" s="2" t="inlineStr">
        <is>
          <t>마지막 사용자 이름 표시 안 함</t>
        </is>
      </c>
      <c r="E15" s="2" t="inlineStr">
        <is>
          <t>양호 : “마지막 사용자 이름 표시 안 함”이 “사용”으로 설정된 경우
취약 : “마지막 사용자 이름 표시 안 함”이 “사용 안 함”으로 설정된 경우</t>
        </is>
      </c>
      <c r="F15" s="16" t="inlineStr">
        <is>
          <t>양호</t>
        </is>
      </c>
      <c r="G15" s="2" t="inlineStr">
        <is>
          <t>- 판단기준: 'DontDisplayLastUserName' 값이 1(사용)이면 양호, 0(사용 안 함)이면 취약
- 점검내용(로우데이터): '값=1' 이므로 '마지막 사용자 이름 표시 안 함' 정책이 '사용'으로 설정된 상태
- 따라서 로그온 화면에 마지막 사용자 이름이 표시되지 않도록 설정되어 있어 양호로 판정</t>
        </is>
      </c>
      <c r="H15" s="2" t="inlineStr"/>
    </row>
    <row r="16">
      <c r="B16" s="15" t="n"/>
      <c r="C16" s="9" t="inlineStr">
        <is>
          <t>W-11</t>
        </is>
      </c>
      <c r="D16" s="2" t="inlineStr">
        <is>
          <t>로컬 로그온 허용 제한</t>
        </is>
      </c>
      <c r="E16" s="2" t="inlineStr">
        <is>
          <t>양호 : 로컬 로그온 허용 정책에 Administrators, IUSR_ 만 존재하는 경우
취약 : 로컬 로그온 허용 정책에 Administrators, IUSR_ 외 다른 계정 및 그룹이 존재하는 경우</t>
        </is>
      </c>
      <c r="F16" s="16" t="inlineStr">
        <is>
          <t>양호</t>
        </is>
      </c>
      <c r="G16" s="2" t="inlineStr">
        <is>
          <t>- 판단기준의 '양호' 조건은 로컬 로그온 허용(SeInteractiveLogonRight) 정책에 Administrators, IUSR_ 만 존재하는 경우임
- 점검내용의 SeInteractiveLogonRight 구성원은 'BUILTIN\Administrators [*S-1-5-32-544]' 단 하나로 확인됨
- 허용된 Administrators 외 다른 계정·그룹(Users, Everyone, Guest 등)이 존재하지 않아 비표준 이상치 없음
- 따라서 양호로 판정</t>
        </is>
      </c>
      <c r="H16" s="2" t="inlineStr"/>
    </row>
    <row r="17">
      <c r="B17" s="15" t="n"/>
      <c r="C17" s="9" t="inlineStr">
        <is>
          <t>W-12</t>
        </is>
      </c>
      <c r="D17" s="2" t="inlineStr">
        <is>
          <t>익명 SID/이름 변환 허용 해제</t>
        </is>
      </c>
      <c r="E17" s="2" t="inlineStr">
        <is>
          <t>양호 : “익명 SID/이름 변환 허용” 정책이 “사용 안 함”으로 설정된 경우
취약 : “익명 SID/이름 변환 허용” 정책이 “사용”으로 설정된 경우</t>
        </is>
      </c>
      <c r="F17" s="14" t="inlineStr">
        <is>
          <t>취약</t>
        </is>
      </c>
      <c r="G17" s="2" t="inlineStr">
        <is>
          <t>- 판단기준의 취약 조건은 '익명 SID/이름 변환 허용' 정책이 '사용'으로 설정된 경우이며, 이는 LSAAnonymousNameLookup 값이 1일 때를 의미함
- 점검내용(로우데이터)의 '값=1'은 익명 SID/이름 변환 허용 정책이 '사용'으로 활성화되어 있음을 나타냄
- 양호 기준인 '사용 안 함(값=0)'에 해당하지 않으므로 취약으로 판정함</t>
        </is>
      </c>
      <c r="H17" s="2" t="inlineStr">
        <is>
          <t>Administrator 기본 계정 이름 변경 및 보안성이 있는 비밀번호 설정</t>
        </is>
      </c>
    </row>
    <row r="18">
      <c r="B18" s="15" t="n"/>
      <c r="C18" s="9" t="inlineStr">
        <is>
          <t>W-13</t>
        </is>
      </c>
      <c r="D18" s="2" t="inlineStr">
        <is>
          <t>콘솔 로그온 시 로컬 계정 빈 암호 사용 제한</t>
        </is>
      </c>
      <c r="E18" s="2" t="inlineStr">
        <is>
          <t>양호 : “콘솔 로그온 시 로컬 계정에서 빈 암호 사용 제한” 정책이 “사용”인 경우
취약 : “콘솔 로그온 시 로컬 계정에서 빈 암호 사용 제한” 정책이 “사용 안 함”인 경우</t>
        </is>
      </c>
      <c r="F18" s="16" t="inlineStr">
        <is>
          <t>양호</t>
        </is>
      </c>
      <c r="G18" s="2" t="inlineStr">
        <is>
          <t>- 판단기준 '양호'는 점검파일 Lsa\LimitBlankPasswordUse 정책이 '사용'일 때이며, 레지스트리 값 1이 '사용(빈 암호 사용 제한 활성화)'에 해당한다.
- 점검내용(로우데이터)이 '값=1'로 확인되어 콘솔 로그온 시 로컬 계정 빈 암호 사용이 제한되고 있다.
- '사용 안 함'(값=0)이 아니므로 취약 조건에 해당하지 않는다.</t>
        </is>
      </c>
      <c r="H18" s="2" t="inlineStr"/>
    </row>
    <row r="19">
      <c r="B19" s="15" t="n"/>
      <c r="C19" s="9" t="inlineStr">
        <is>
          <t>W-14</t>
        </is>
      </c>
      <c r="D19" s="2" t="inlineStr">
        <is>
          <t>원격터미널 접속 가능 사용자 그룹 제한</t>
        </is>
      </c>
      <c r="E19" s="2" t="inlineStr">
        <is>
          <t>양호 : (관리자 계정을 제외한) 원격 접속이 가능한 계정을 생성하여 타 사용자의 원격 접속을 제한하고, 원격 접속 사용자 그룹에 불필요한 계정이 등록되어 있지 않은 경우
취약 : (관리자 계정을 제외한) 원격 접속이 가능한 별도의 계정이 존재하지 않는 경우</t>
        </is>
      </c>
      <c r="F19" s="16" t="inlineStr">
        <is>
          <t>양호</t>
        </is>
      </c>
      <c r="G19" s="2" t="inlineStr">
        <is>
          <t>- 판단기준의 양호 조건은 '관리자 계정을 제외한 원격 접속 전용 계정을 생성하고 불필요한 계정이 없을 것'인데, 점검내용상 Remote Desktop Users 그룹 구성원은 'EC2AMAZ-305SBHT\remoteadmin [User]' 단 1개로 별도 원격 접속용 계정이 존재함
- 등록된 remoteadmin 계정은 빌트인 Administrator가 아닌 원격 접속 목적으로 생성된 별도 사용자 계정([User])으로, 취약 조건인 '원격 접속 가능한 별도 계정이 존재하지 않는 경우'에 해당하지 않음
- 구성원 수가 1개이며 표준 원격관리 용도 외 불필요·비표준 계정(예: Everyone, Guest, 일반 사용자 다수 등)이 그룹에 등록되어 있지 않아 화이트리스트 차집합상 의심 항목이 없음</t>
        </is>
      </c>
      <c r="H19" s="2" t="inlineStr"/>
    </row>
    <row r="20">
      <c r="B20" s="9" t="inlineStr">
        <is>
          <t>서비스 관리</t>
        </is>
      </c>
      <c r="C20" s="9" t="inlineStr">
        <is>
          <t>W-15</t>
        </is>
      </c>
      <c r="D20" s="2" t="inlineStr">
        <is>
          <t>사용자 개인키 사용 시 암호 입력</t>
        </is>
      </c>
      <c r="E20" s="2" t="inlineStr">
        <is>
          <t>양호 : 사용자 개인 키를 사용할 때마다 암호 입력을 받는 경우
취약 : 사용자 개인 키를 사용할 때마다 암호 입력을 받지 않는 경우</t>
        </is>
      </c>
      <c r="F20" s="16" t="inlineStr">
        <is>
          <t>양호</t>
        </is>
      </c>
      <c r="G20" s="2" t="inlineStr">
        <is>
          <t>- 판단기준의 양호 조건(사용자 개인 키를 사용할 때마다 암호 입력을 받는 경우)에 해당함
- 점검내용 라인 'ForceKeyProtection=2'는 개인키 사용 시마다 강력한 키 보호(암호 입력)를 요구하도록 설정된 값임(2=매번 암호 입력 요구)
- 값이 0(보호 안 함) 또는 1(최초 1회만)이 아니므로 취약 조건에 해당하지 않음</t>
        </is>
      </c>
      <c r="H20" s="2" t="inlineStr"/>
    </row>
    <row r="21">
      <c r="B21" s="15" t="n"/>
      <c r="C21" s="9" t="inlineStr">
        <is>
          <t>W-16</t>
        </is>
      </c>
      <c r="D21" s="2" t="inlineStr">
        <is>
          <t>공유 권한 및 사용자 그룹 설정</t>
        </is>
      </c>
      <c r="E21" s="2" t="inlineStr">
        <is>
          <t>양호 : 일반 공유 디렉터리가 없거나 공유 디렉터리 접근 권한에 Everyone 권한이 없는 경우
취약 : 일반 공유 디렉터리의 접근 권한에 Everyone 권한이 있는 경우</t>
        </is>
      </c>
      <c r="F21" s="16" t="inlineStr">
        <is>
          <t>양호</t>
        </is>
      </c>
      <c r="G21" s="2" t="inlineStr">
        <is>
          <t>- 판단기준의 '일반 공유 디렉터리가 없거나 ... Everyone 권한이 없는 경우' 양호 조건에 해당함
- 점검내용(로우데이터)에 '일반 공유 없음'으로 명시되어 있어 일반 공유 디렉터리가 존재하지 않음
- 공유 디렉터리 자체가 없으므로 Everyone 접근 권한이 부여될 대상이 없어 취약 요소 없음</t>
        </is>
      </c>
      <c r="H21" s="2" t="inlineStr"/>
    </row>
    <row r="22">
      <c r="B22" s="15" t="n"/>
      <c r="C22" s="9" t="inlineStr">
        <is>
          <t>W-17</t>
        </is>
      </c>
      <c r="D22" s="2" t="inlineStr">
        <is>
          <t>하드디스크 기본 공유 제거</t>
        </is>
      </c>
      <c r="E22" s="2" t="inlineStr">
        <is>
          <t>양호 : 레지스트리의 AutoShareServer (WinNT: AutoShareWks)가 0이며 기본 공유가 존재하지 않 는 경우
취약 : 레지스트리의 AutoShareServer (WinNT: AutoShareWks)가 1이거나 기본 공유가 존재하는 경우</t>
        </is>
      </c>
      <c r="F22" s="16" t="inlineStr">
        <is>
          <t>양호</t>
        </is>
      </c>
      <c r="G22" s="2" t="inlineStr">
        <is>
          <t>- 판단기준의 양호 조건은 'AutoShareServer가 0이며 기본 공유가 존재하지 않는 경우'인데, 점검내용의 'AutoShareServer=0' 라인이 이 레지스트리 값 조건을 충족함
- 판단기준의 또 다른 양호 조건인 '기본 공유 미존재'에 대해, 점검내용의 '기본공유: (없음)' 라인이 C$, ADMIN$ 등 기본 공유가 존재하지 않음을 보여줌
- 취약 조건(AutoShareServer가 1이거나 기본 공유 존재)에 해당하는 이상치가 점검내용에 없으므로 양호로 판정</t>
        </is>
      </c>
      <c r="H22" s="2" t="inlineStr"/>
    </row>
    <row r="23">
      <c r="B23" s="15" t="n"/>
      <c r="C23" s="9" t="inlineStr">
        <is>
          <t>W-18</t>
        </is>
      </c>
      <c r="D23" s="2" t="inlineStr">
        <is>
          <t>불필요한 서비스 제거</t>
        </is>
      </c>
      <c r="E23" s="2" t="inlineStr">
        <is>
          <t>양호 : 일반적으로 불필요한 서비스(아래 목록 참조)가 중지된 경우
취약 : 일반적으로 불필요한 서비스(아래 목록 참조)가 구동 중인 경우</t>
        </is>
      </c>
      <c r="F23" s="16" t="inlineStr">
        <is>
          <t>양호</t>
        </is>
      </c>
      <c r="G23" s="2" t="inlineStr">
        <is>
          <t>- 판단기준은 일반적으로 불필요한 서비스가 '구동 중'이면 취약, '중지'이면 양호로 판정함
- Alerter, Messenger, Telnet, TlntSvr, Simptcp, SNMP, WebClient 는 (서비스 없음) 으로 설치되어 있지 않아 구동 위험이 없음
- RemoteRegistry, SharedAccess, RemoteAccess, SSDPSRV, upnphost, seclogon 은 모두 Stopped(중지) 상태로 확인됨
- 점검 목록에 포함된 불필요 서비스 중 'Running/구동 중' 상태인 항목이 하나도 없어 이상치 없음
- 따라서 모든 불필요 서비스가 중지 또는 미설치 상태이므로 양호로 판정</t>
        </is>
      </c>
      <c r="H23" s="2" t="inlineStr"/>
    </row>
    <row r="24">
      <c r="B24" s="15" t="n"/>
      <c r="C24" s="9" t="inlineStr">
        <is>
          <t>W-19</t>
        </is>
      </c>
      <c r="D24" s="2" t="inlineStr">
        <is>
          <t>불필요한 IIS 서비스 구동 점검</t>
        </is>
      </c>
      <c r="E24" s="2" t="inlineStr">
        <is>
          <t>양호 : IIS 서비스를 사용하지 않는 경우 또는 필요에 의해 IIS 서비스를 사용하는 경우
취약 : IIS 서비스를 불필요하게 사용하는 경우</t>
        </is>
      </c>
      <c r="F24" s="16" t="inlineStr">
        <is>
          <t>양호</t>
        </is>
      </c>
      <c r="G24" s="2" t="inlineStr">
        <is>
          <t>- 판단기준상 'IIS 서비스를 사용하지 않는 경우'는 양호에 해당함
- 점검내용(로우데이터)에 'IIS 미설치'로 명시되어 IIS(W3SVC) 서비스가 설치·구동되지 않음을 확인함
- 불필요한 IIS 서비스가 구동되고 있지 않으므로 취약 사유에 해당하지 않음</t>
        </is>
      </c>
      <c r="H24" s="2" t="inlineStr"/>
    </row>
    <row r="25">
      <c r="B25" s="15" t="n"/>
      <c r="C25" s="9" t="inlineStr">
        <is>
          <t>W-20</t>
        </is>
      </c>
      <c r="D25" s="2" t="inlineStr">
        <is>
          <t>NetBIOS 바인딩 서비스 구동 점검</t>
        </is>
      </c>
      <c r="E25" s="2" t="inlineStr">
        <is>
          <t>양호 : TCP/IP와 NetBIOS 간의 바인딩이 제거되어 있는 경우
취약 : TCP/IP와 NetBIOS 간의 바인딩이 제거되어 있지 않은 경우</t>
        </is>
      </c>
      <c r="F25" s="16" t="inlineStr">
        <is>
          <t>양호</t>
        </is>
      </c>
      <c r="G25" s="2" t="inlineStr">
        <is>
          <t>- 판단기준의 양호 조건은 'TCP/IP와 NetBIOS 간의 바인딩이 제거되어 있는 경우'임
- 점검내용 원시 라인 'TcpipNetbiosOptions=2(비활성)'은 NetBIOS over TCP/IP가 '사용 안 함(Disable)' 상태로 설정되어 있음을 의미함
- TcpipNetbiosOptions 값 2는 NetBIOS over TCP/IP 비활성화로 TCP/IP와 NetBIOS 간 바인딩이 제거된 상태이므로 양호로 판정함</t>
        </is>
      </c>
      <c r="H25" s="2" t="inlineStr"/>
    </row>
    <row r="26">
      <c r="B26" s="15" t="n"/>
      <c r="C26" s="9" t="inlineStr">
        <is>
          <t>W-21</t>
        </is>
      </c>
      <c r="D26" s="2" t="inlineStr">
        <is>
          <t>암호화되지 않는 FTP 서비스 비활성화</t>
        </is>
      </c>
      <c r="E26" s="2" t="inlineStr">
        <is>
          <t>양호 : FTP 서비스를 사용하지 않는 경우 또는 Secure FTP 서비스를 사용하는 경우
취약 : 암호화되지 않는 FTP 서비스를 사용하는 경우</t>
        </is>
      </c>
      <c r="F26" s="16" t="inlineStr">
        <is>
          <t>양호</t>
        </is>
      </c>
      <c r="G26" s="2" t="inlineStr">
        <is>
          <t>- 판단기준의 '양호: FTP 서비스를 사용하지 않는 경우'에 해당 ↔ 점검내용 로우데이터의 'FTP 미구동' 라인
- FTP 서비스가 구동되지 않으므로 암호화되지 않는 평문 FTP 전송에 따른 노출 위험이 존재하지 않음
- 점검파일(FTP 서비스)이 비활성 상태로 확인되어 취약 조건('암호화되지 않는 FTP 서비스를 사용하는 경우')에 해당하지 않음</t>
        </is>
      </c>
      <c r="H26" s="2" t="inlineStr"/>
    </row>
    <row r="27">
      <c r="B27" s="15" t="n"/>
      <c r="C27" s="9" t="inlineStr">
        <is>
          <t>W-22</t>
        </is>
      </c>
      <c r="D27" s="2" t="inlineStr">
        <is>
          <t>FTP 디렉터리 접근권한 설정</t>
        </is>
      </c>
      <c r="E27" s="2" t="inlineStr">
        <is>
          <t>양호 : FTP 홈 디렉터리에 Everyone 권한이 없는 경우
취약 : FTP 홈 디렉터리에 Everyone 권한이 있는 경우</t>
        </is>
      </c>
      <c r="F27" s="17" t="inlineStr">
        <is>
          <t>N/A</t>
        </is>
      </c>
      <c r="G27" s="2" t="inlineStr">
        <is>
          <t>- 판단기준은 'FTP 홈 디렉터리에 Everyone 권한 유무'를 점검하나, 점검내용(로우데이터)에 'FTP 미구동'으로 명시되어 FTP 서비스 자체가 구동되지 않음
- FTP 서비스가 동작하지 않으므로 점검 대상 FTP 홈 디렉터리가 존재하지 않아 본 항목의 점검 대상이 아님
- 따라서 Everyone 권한 부여 여부를 평가할 대상이 없어 N/A로 판정</t>
        </is>
      </c>
      <c r="H27" s="2" t="inlineStr"/>
    </row>
    <row r="28">
      <c r="B28" s="15" t="n"/>
      <c r="C28" s="9" t="inlineStr">
        <is>
          <t>W-23</t>
        </is>
      </c>
      <c r="D28" s="2" t="inlineStr">
        <is>
          <t>공유 서비스에 대한 익명 접근 제한 설정</t>
        </is>
      </c>
      <c r="E28" s="2" t="inlineStr">
        <is>
          <t>양호 : 공유 서비스를 사용하지 않거나, 익명 인증 사용 안 함으로 설정된 경우
취약 : 공유 서비스를 사용하거나, 익명 인증 사용함으로 설정된 경우</t>
        </is>
      </c>
      <c r="F28" s="16" t="inlineStr">
        <is>
          <t>양호</t>
        </is>
      </c>
      <c r="G28" s="2" t="inlineStr">
        <is>
          <t>- 판단기준의 '익명 인증 사용 안 함으로 설정된 경우 양호'에 해당하는지 확인 — 점검내용의 RestrictAnonymous=1 은 익명(Null Session) 사용자의 열거·접근을 제한하는 설정 값이다.
- 점검내용의 RestrictNullSessAccess=1 은 Null Session으로 접근 가능한 공유/파이프 접근을 차단하도록 설정된 값으로, 공유 서비스에 대한 익명 접근이 제한된 상태이다.
- 두 레지스트리 값 모두 1(제한)로 설정되어 익명 인증이 '사용 안 함' 상태이므로, 판단기준상 양호로 판정한다.</t>
        </is>
      </c>
      <c r="H28" s="2" t="inlineStr"/>
    </row>
    <row r="29">
      <c r="B29" s="15" t="n"/>
      <c r="C29" s="9" t="inlineStr">
        <is>
          <t>W-24</t>
        </is>
      </c>
      <c r="D29" s="2" t="inlineStr">
        <is>
          <t>FTP 접근 제어 설정</t>
        </is>
      </c>
      <c r="E29" s="2" t="inlineStr">
        <is>
          <t>양호 : 특정 IP주소에서만 FTP 서버에 접속하도록 접근 제어 설정을 적용한 경우
취약 : 특정 IP주소에서만 FTP 서버에 접속하도록 접근 제어 설정을 적용하지 않는 경우</t>
        </is>
      </c>
      <c r="F29" s="17" t="inlineStr">
        <is>
          <t>N/A</t>
        </is>
      </c>
      <c r="G29" s="2" t="inlineStr">
        <is>
          <t>- 판단기준은 FTP 서버에 특정 IP주소만 접속하도록 접근 제어 설정이 적용되었는지를 점검하는 항목임
- 점검내용(로우데이터)이 'FTP 미구동'으로, 진단대상 Windows Server에 FTP 서비스가 구동되고 있지 않음
- FTP 서비스가 존재·구동하지 않으므로 IP 기반 접근 제어 설정의 점검 대상 자체가 성립하지 않음 → 점검 대상 아님(N/A)</t>
        </is>
      </c>
      <c r="H29" s="2" t="inlineStr"/>
    </row>
    <row r="30">
      <c r="B30" s="15" t="n"/>
      <c r="C30" s="9" t="inlineStr">
        <is>
          <t>W-25</t>
        </is>
      </c>
      <c r="D30" s="2" t="inlineStr">
        <is>
          <t>DNS Zone Transfer 설정</t>
        </is>
      </c>
      <c r="E30" s="2" t="inlineStr">
        <is>
          <t>양호 : 아래 기준에 해당하는 경우 1. DNS 서비스가 비활성화인 경우 2. 영역 전송 허용을 하지 않는 경우 3. 특정 서버로만 설정이 되어있는 경우
취약 : 위 3개 기준 중 하나라도 해당하지 않는 경우</t>
        </is>
      </c>
      <c r="F30" s="16" t="inlineStr">
        <is>
          <t>양호</t>
        </is>
      </c>
      <c r="G30" s="2" t="inlineStr">
        <is>
          <t>- 판단기준 1번(DNS 서비스가 비활성화인 경우)은 양호 조건이다.
- 점검내용(로우데이터)에 'DNS 미구동'으로 명시되어 있어 DNS 서비스가 구동되지 않음을 확인하였다.
- DNS 서비스가 동작하지 않으므로 Zone Transfer 자체가 발생할 수 없어 양호로 판정한다.</t>
        </is>
      </c>
      <c r="H30" s="2" t="inlineStr"/>
    </row>
    <row r="31">
      <c r="B31" s="15" t="n"/>
      <c r="C31" s="9" t="inlineStr">
        <is>
          <t>W-26</t>
        </is>
      </c>
      <c r="D31" s="2" t="inlineStr">
        <is>
          <t>RDS(Remote Data Services) 제거</t>
        </is>
      </c>
      <c r="E31" s="2" t="inlineStr">
        <is>
          <t>양호 : 다음 중 한 가지라도 해당하는 경우 1. IIS를 사용하지 않는 경우 2. Windows 2008 이상 버전을 사용하는 경우 3. Windows 2000 서비스팩 4, Windows 2003 서비스팩 2 이상 설치된 경우 4. 기본 웹 사이트에 MSADC 가상 디렉터리가 존재하지 않는 경우 5. 해당 레지스트리 값이 존재하지 않는 경우
취약 : 양호 기준에 한 가지도 해당하지 않는 경우</t>
        </is>
      </c>
      <c r="F31" s="16" t="inlineStr">
        <is>
          <t>양호</t>
        </is>
      </c>
      <c r="G31" s="2" t="inlineStr">
        <is>
          <t>- 판단기준 1번(IIS를 사용하지 않는 경우)이 양호 조건이며, 점검내용에 'IIS(W3SVC) 미설치 — RDS 위험 비해당'으로 명시됨
- IIS 자체가 설치되어 있지 않으므로 RDS(ADCLaunch) 취약점이 발생할 수 있는 웹 서비스 기반이 존재하지 않음
- 따라서 양호 기준 중 1번에 해당하여 '양호'로 판정함</t>
        </is>
      </c>
      <c r="H31" s="2" t="inlineStr"/>
    </row>
    <row r="32">
      <c r="B32" s="15" t="n"/>
      <c r="C32" s="9" t="inlineStr">
        <is>
          <t>W-27</t>
        </is>
      </c>
      <c r="D32" s="2" t="inlineStr">
        <is>
          <t>최신 Windows OS Build 버전 적용</t>
        </is>
      </c>
      <c r="E32" s="2" t="inlineStr">
        <is>
          <t>양호 : 최신 Build가 설치되어 있으며 적용 절차 및 방법이 수립된 경우
취약 : 최신 Build가 설치되지 않거나, 적용 절차 및 방법이 수립되지 않은 경우</t>
        </is>
      </c>
      <c r="F32" s="17" t="inlineStr">
        <is>
          <t>N/A</t>
        </is>
      </c>
      <c r="G32" s="2" t="inlineStr">
        <is>
          <t>- 판단기준은 '최신 Build 설치' AND '적용 절차 및 방법 수립'을 모두 충족해야 양호인데, 점검내용(로우데이터)에는 빌드 정보(빌드 17763.8880, ReleaseId 1809, BuildLabEx 17763.1.amd64fre.rs5_release.180914-1434)만 제시되어 있고 패치/Build 적용 절차·방법 수립 여부에 대한 증적이 전혀 없음
- Windows Server 2019(1809) 계열은 최신 누적 업데이트 적용 시 빌드 리비전이 계속 갱신되는데, 제시된 빌드만으로 해당 리비전이 점검 시점 기준 최신인지 확정할 수 없어 '최신 Build 설치' 조건을 충족했다고 단정 불가
- 증적 부족·확인 불가 시 보수적으로 취약 판정 원칙에 따라, 적용 절차 수립 증적 부재만으로도 양호 조건을 만족하지 못하므로 '취약'으로 판정</t>
        </is>
      </c>
      <c r="H32" s="2" t="inlineStr">
        <is>
          <t>Administrator 기본 계정 이름 변경 및 보안성이 있는 비밀번호 설정</t>
        </is>
      </c>
    </row>
    <row r="33">
      <c r="B33" s="15" t="n"/>
      <c r="C33" s="9" t="inlineStr">
        <is>
          <t>W-28</t>
        </is>
      </c>
      <c r="D33" s="2" t="inlineStr">
        <is>
          <t>터미널 서비스 암호화 수준 설정</t>
        </is>
      </c>
      <c r="E33" s="2" t="inlineStr">
        <is>
          <t>양호 : 원격 데스크톱 서비스를 사용하지 않거나 사용 시 암호화 수준을 “클라이언트와 호환 가능(중간)” 이상으로 설정한 경우
취약 : 원격 데스크톱 서비스를 사용하고 암호화 수준이 “낮음”으로 설정한 경우</t>
        </is>
      </c>
      <c r="F33" s="16" t="inlineStr">
        <is>
          <t>양호</t>
        </is>
      </c>
      <c r="G33" s="2" t="inlineStr">
        <is>
          <t>- 판단기준상 암호화 수준이 '클라이언트와 호환 가능(중간)' 이상이면 양호이며, '낮음'으로 설정된 경우만 취약임
- 점검내용(로우데이터) '값=2'는 RDP MinEncryptionLevel 레지스트리 값 2를 의미하며, 이는 '클라이언트와 호환 가능(중간)'에 해당함 (1=낮음, 2=중간, 3=높음, 4=FIPS 호환)
- 설정값이 '낮음(1)'이 아닌 '중간(2)'으로 중간 이상 수준을 만족하므로 양호로 판정함</t>
        </is>
      </c>
      <c r="H33" s="2" t="inlineStr"/>
    </row>
    <row r="34">
      <c r="B34" s="15" t="n"/>
      <c r="C34" s="9" t="inlineStr">
        <is>
          <t>W-29</t>
        </is>
      </c>
      <c r="D34" s="2" t="inlineStr">
        <is>
          <t>불필요한 SNMP 서비스 구동 점검</t>
        </is>
      </c>
      <c r="E34" s="2" t="inlineStr">
        <is>
          <t>양호 : SNMP 서비스를 사용하지 않는 경우 또는 Community String을 설정하여 SNMP 서비스를 사용하는 경우
취약 : 불필요하게 SNMP 서비스를 사용하는 경우</t>
        </is>
      </c>
      <c r="F34" s="16" t="inlineStr">
        <is>
          <t>양호</t>
        </is>
      </c>
      <c r="G34" s="2" t="inlineStr">
        <is>
          <t>- 판단기준의 '양호 : SNMP 서비스를 사용하지 않는 경우'에 해당함
- 점검내용 로우데이터가 'SNMP 미구동'으로, SNMP 서비스가 구동되지 않고 있음을 명시하고 있음
- 불필요한 SNMP 서비스가 동작하지 않으므로 취약 조건(불필요하게 SNMP 서비스를 사용하는 경우)에 해당하지 않음</t>
        </is>
      </c>
      <c r="H34" s="2" t="inlineStr"/>
    </row>
    <row r="35">
      <c r="B35" s="15" t="n"/>
      <c r="C35" s="9" t="inlineStr">
        <is>
          <t>W-30</t>
        </is>
      </c>
      <c r="D35" s="2" t="inlineStr">
        <is>
          <t>SNMP Community String 복잡성 설정</t>
        </is>
      </c>
      <c r="E35" s="2" t="inlineStr">
        <is>
          <t>양호 : SNMP 서비스를 사용하지 않거나 Community String이 public, private 이 아닌 경우
취약 : SNMP 서비스를 사용하며, Community String이 public, private인 경우</t>
        </is>
      </c>
      <c r="F35" s="16" t="inlineStr">
        <is>
          <t>양호</t>
        </is>
      </c>
      <c r="G35" s="2" t="inlineStr">
        <is>
          <t>- 판단기준의 양호 조건은 'SNMP 서비스를 사용하지 않거나 Community String이 public, private이 아닌 경우'임
- 점검내용(로우데이터)에 'SNMP 미설치'로 명시되어 SNMP 서비스 자체가 설치/사용되지 않음을 확인함
- SNMP 서비스를 사용하지 않으므로 Community String 노출 위험이 없어 양호로 판정함</t>
        </is>
      </c>
      <c r="H35" s="2" t="inlineStr"/>
    </row>
    <row r="36">
      <c r="B36" s="15" t="n"/>
      <c r="C36" s="9" t="inlineStr">
        <is>
          <t>W-31</t>
        </is>
      </c>
      <c r="D36" s="2" t="inlineStr">
        <is>
          <t>SNMP Access control 설정</t>
        </is>
      </c>
      <c r="E36" s="2" t="inlineStr">
        <is>
          <t>양호 : SNMP 서비스를 사용하지 않거나 특정 호스트로부터 SNMP 패킷 받아들이기가 설정된 경우
취약 : 모든 호스트로부터 SNMP 패킷 받아들이기가 설정된 경우</t>
        </is>
      </c>
      <c r="F36" s="16" t="inlineStr">
        <is>
          <t>양호</t>
        </is>
      </c>
      <c r="G36" s="2" t="inlineStr">
        <is>
          <t>- 판단기준의 '양호: SNMP 서비스를 사용하지 않거나 특정 호스트로부터 SNMP 패킷 받아들이기가 설정된 경우'에 해당함
- 점검내용(로우데이터)에 'SNMP 미설치'로 기재되어 있어 SNMP 서비스를 사용하지 않는 상태임
- SNMP 서비스 자체가 설치/구동되지 않아 모든 호스트로부터 SNMP 패킷을 받아들이는 취약 조건이 성립하지 않음</t>
        </is>
      </c>
      <c r="H36" s="2" t="inlineStr"/>
    </row>
    <row r="37">
      <c r="B37" s="15" t="n"/>
      <c r="C37" s="9" t="inlineStr">
        <is>
          <t>W-32</t>
        </is>
      </c>
      <c r="D37" s="2" t="inlineStr">
        <is>
          <t>DNS 서비스 구동 점검</t>
        </is>
      </c>
      <c r="E37" s="2" t="inlineStr">
        <is>
          <t>양호 : DNS 서비스를 사용하지 않거나 동적 업데이트 “없음(아니오)”으로 설정된 경우
취약 : 서비스를 사용하며 동적 업데이트가 설정된 경우</t>
        </is>
      </c>
      <c r="F37" s="16" t="inlineStr">
        <is>
          <t>양호</t>
        </is>
      </c>
      <c r="G37" s="2" t="inlineStr">
        <is>
          <t>- 판단기준의 '양호' 조건은 DNS 서비스를 사용하지 않거나 동적 업데이트가 '없음'으로 설정된 경우임
- 점검내용(로우데이터)에 'DNS 미구동'으로 명시되어 있어 DNS 서비스 자체가 구동되지 않는 상태임
- 서비스가 구동되지 않으므로 동적 업데이트 설정 여부와 무관하게 취약 조건('서비스를 사용하며 동적 업데이트가 설정된 경우')에 해당하지 않음</t>
        </is>
      </c>
      <c r="H37" s="2" t="inlineStr"/>
    </row>
    <row r="38">
      <c r="B38" s="15" t="n"/>
      <c r="C38" s="9" t="inlineStr">
        <is>
          <t>W-33</t>
        </is>
      </c>
      <c r="D38" s="2" t="inlineStr">
        <is>
          <t>HTTP/FTP/SMTP 배너 차단</t>
        </is>
      </c>
      <c r="E38" s="2" t="inlineStr">
        <is>
          <t>양호 : HTTP, FTP, SMTP 접속 시 배너 정보가 보이지 않는 경우
취약 : HTTP, FTP, SMTP 접속 시 배너 정보가 보이는 경우</t>
        </is>
      </c>
      <c r="F38" s="17" t="inlineStr">
        <is>
          <t>N/A</t>
        </is>
      </c>
      <c r="G38" s="2" t="inlineStr">
        <is>
          <t>- 판단기준은 HTTP/FTP/SMTP 접속 시 배너 정보 노출 여부를 점검하나, 점검내용(로우데이터)에 '관련 서비스 없음'으로 명시되어 있음
- IIS(HTTP)/FTP/SMTP 서비스 자체가 구동되지 않아 배너 노출 점검 대상이 존재하지 않음
- 점검 대상 서비스가 부재하는 경우이므로 해당 항목은 점검 대상 아님(N/A)으로 판정</t>
        </is>
      </c>
      <c r="H38" s="2" t="inlineStr"/>
    </row>
    <row r="39">
      <c r="B39" s="15" t="n"/>
      <c r="C39" s="9" t="inlineStr">
        <is>
          <t>W-34</t>
        </is>
      </c>
      <c r="D39" s="2" t="inlineStr">
        <is>
          <t>Telnet 서비스 비활성화</t>
        </is>
      </c>
      <c r="E39" s="2" t="inlineStr">
        <is>
          <t>양호 : Telnet 서비스가 구동되어 있지 않거나 인증 방법이 NTLM인 경우
취약 : Telnet 서비스가 구동되어 있으며 인증 방법이 NTLM이 아닌 경우</t>
        </is>
      </c>
      <c r="F39" s="17" t="inlineStr">
        <is>
          <t>N/A</t>
        </is>
      </c>
      <c r="G39" s="2" t="inlineStr">
        <is>
          <t>- 판단기준상 'Telnet 서비스가 구동되어 있지 않은 경우' 양호로 판정함
- 점검내용(로우데이터)에 'Telnet 서비스 미설치'로 명시되어 있어 서비스가 설치·구동되지 않은 상태임
- 미설치 상태이므로 Telnet을 통한 비인가 접근 위험이 존재하지 않아 양호로 판정함</t>
        </is>
      </c>
      <c r="H39" s="2" t="inlineStr"/>
    </row>
    <row r="40">
      <c r="B40" s="15" t="n"/>
      <c r="C40" s="9" t="inlineStr">
        <is>
          <t>W-35</t>
        </is>
      </c>
      <c r="D40" s="2" t="inlineStr">
        <is>
          <t>불필요한 ODBC/OLE-DB 데이터 소스와 드라이버 제거</t>
        </is>
      </c>
      <c r="E40" s="2" t="inlineStr">
        <is>
          <t>양호 : 시스템 DSN 부분의 데이터 소스를 현재 사용하고 있는 경우
취약 : 시스템 DSN 부분의 데이터 소스를 현재 사용하고 있지 않은 경우</t>
        </is>
      </c>
      <c r="F40" s="16" t="inlineStr">
        <is>
          <t>양호</t>
        </is>
      </c>
      <c r="G40" s="2" t="inlineStr">
        <is>
          <t>- 판단기준상 '취약'은 시스템 DSN에 데이터 소스가 존재하나 현재 사용하지 않는 경우를 의미함
- 점검내용 'DSN 수: 0' 라인에 따라 시스템 DSN 영역에 등록된 데이터 소스가 전혀 존재하지 않음
- 불필요(미사용)한 ODBC/OLE-DB 데이터 소스 자체가 없어 제거 대상이 존재하지 않으므로 양호로 판정함</t>
        </is>
      </c>
      <c r="H40" s="2" t="inlineStr"/>
    </row>
    <row r="41">
      <c r="B41" s="15" t="n"/>
      <c r="C41" s="9" t="inlineStr">
        <is>
          <t>W-36</t>
        </is>
      </c>
      <c r="D41" s="2" t="inlineStr">
        <is>
          <t>원격터미널 접속 타임아웃 설정</t>
        </is>
      </c>
      <c r="E41" s="2" t="inlineStr">
        <is>
          <t>양호 : 원격 제어 시 Timeout 제어 설정을 30분 이하로 설정한 경우
취약 : 원격 제어 시 Timeout 제어 설정을 적용하지 않거나 30분 초과로 설정한 경우</t>
        </is>
      </c>
      <c r="F41" s="16" t="inlineStr">
        <is>
          <t>양호</t>
        </is>
      </c>
      <c r="G41" s="2" t="inlineStr">
        <is>
          <t>- 판단기준의 양호 조건은 '원격 제어 시 Timeout 제어 설정을 30분 이하로 설정'한 경우임
- 점검내용 원시 값은 '1800000ms (30분)'으로, 1800000ms = 1800초 = 30분에 정확히 해당함
- 30분은 '30분 이하' 조건을 충족하며 미설정(미적용)이나 30분 초과에 해당하지 않으므로 양호로 판정함</t>
        </is>
      </c>
      <c r="H41" s="2" t="inlineStr"/>
    </row>
    <row r="42">
      <c r="B42" s="15" t="n"/>
      <c r="C42" s="9" t="inlineStr">
        <is>
          <t>W-37</t>
        </is>
      </c>
      <c r="D42" s="2" t="inlineStr">
        <is>
          <t>예약된 작업에 의심스러운 명령 등록 점검</t>
        </is>
      </c>
      <c r="E42" s="2" t="inlineStr">
        <is>
          <t>양호 : 불필요한 명령어나 파일 등 주기적인 예약 작업의 존재 여부를 주기적으로 점검하고 제거한 경우
취약 : 불필요한 명령어나 파일 등 주기적인 예약 작업의 존재 여부를 주기적으로 점검하지 않거나, 불필 요한 작업을 제거하지 않은 경우</t>
        </is>
      </c>
      <c r="F42" s="17" t="inlineStr">
        <is>
          <t>N/A</t>
        </is>
      </c>
      <c r="G42" s="2" t="inlineStr">
        <is>
          <t>- 판단기준(불필요·의심스러운 예약 작업의 존재 여부)에 따라 활성 예약 작업 97개를 전수 검토한 결과, 모두 Windows 운영체제 기본 작업(\Microsoft\Windows\ 하위) 또는 Microsoft Edge 자동 업데이트(MicrosoftEdgeUpdateTaskMachineCore/UA) 등 표준·정상 작업으로 식별됨
- 실행 경로가 표준 경로(%windir%\system32, %SystemRoot%\System32, C:\Program Files (x86)\Microsoft\EdgeUpdate, C:\ProgramData\Microsoft\Windows Defender\Platform 등)에 한정되어 있으며, 사용자 홈 디렉터리·임시 폴더(Temp)·비표준 경로에서 실행되는 의심 작업이나 cmd/powershell로 외부 스크립트를 내려받는 등의 악성 패턴이 발견되지 않음
- 화이트리스트 차집합 관점에서 비표준 실행 파일, 인코딩된 명령, 알 수 없는 출처의 .vbs/.bat/.exe 등 이상치로 분류할 작업이 없으므로 불필요한 예약 작업이 등록·잔존하지 않은 것으로 판단됨
- 따라서 불필요한 명령어나 파일에 의한 주기적 예약 작업이 존재하지 않아 양호로 판정함</t>
        </is>
      </c>
      <c r="H42" s="2" t="inlineStr"/>
    </row>
    <row r="43">
      <c r="B43" s="9" t="inlineStr">
        <is>
          <t>패치 관리</t>
        </is>
      </c>
      <c r="C43" s="9" t="inlineStr">
        <is>
          <t>W-38</t>
        </is>
      </c>
      <c r="D43" s="2" t="inlineStr">
        <is>
          <t>주기적 보안 패치 및 벤더 권고사항 적용</t>
        </is>
      </c>
      <c r="E43" s="2" t="inlineStr">
        <is>
          <t>양호 : 패치 절차를 수립하여 주기적으로 패치를 확인 및 설치하는 경우
취약 : 패치 절차가 수립되어 있지 않거나 주기적으로 패치를 설치하지 않는 경우</t>
        </is>
      </c>
      <c r="F43" s="17" t="inlineStr">
        <is>
          <t>N/A</t>
        </is>
      </c>
      <c r="G43" s="2" t="inlineStr">
        <is>
          <t>- 판단기준의 '주기적으로 패치를 확인 및 설치하는 경우(양호)'에 대응하여, 점검내용의 '최근 패치: KB5094143 (06/16/2026)' 라인에서 최신 보안 패치가 설치된 사실이 확인됨
- 기준일(2026-06-29) 대비 최근 패치 적용일이 06/16/2026으로 약 13일 전이며, 한 달 이내 최신 패치가 반영되어 주기적 패치 적용 상태로 판단됨
- KB5094143은 정상적인 Windows 누적 업데이트 식별자로, 비표준·미적용 등 이상치(취약 조건)에 해당하는 항목이 발견되지 않음</t>
        </is>
      </c>
      <c r="H43" s="2" t="inlineStr"/>
    </row>
    <row r="44">
      <c r="B44" s="15" t="n"/>
      <c r="C44" s="9" t="inlineStr">
        <is>
          <t>W-39</t>
        </is>
      </c>
      <c r="D44" s="2" t="inlineStr">
        <is>
          <t>백신 프로그램 업데이트</t>
        </is>
      </c>
      <c r="E44" s="2" t="inlineStr">
        <is>
          <t>양호 : 바이러스 백신 프로그램의 최신 엔진 업데이트가 설치되어 있거나, 망 격리 환경의 경우 백신 업데이트를 위한 절차 및 적용 방법이 수립된 경우
취약 : 바이러스 백신 프로그램의 최신 엔진 업데이트가 설치되어 있지 않거나, 망 격리 환경의 경우</t>
        </is>
      </c>
      <c r="F44" s="17" t="inlineStr">
        <is>
          <t>N/A</t>
        </is>
      </c>
      <c r="G44" s="2" t="inlineStr">
        <is>
          <t>- 판단기준의 '바이러스 백신 프로그램의 최신 엔진 업데이트가 설치' 조건 ↔ 점검내용의 'Windows Defender(서명 1.453.331.0)'로, 정상적인 서명(시그니처) 버전이 적용되어 백신 엔진/정의가 설치된 상태로 확인됨
- 백신의 동작 상태 조건 ↔ 점검내용의 '실시간=True'로, Windows Defender의 실시간 보호 기능이 활성화되어 백신이 정상 구동 중임
- 백신 미설치/미동작 또는 망 격리 환경의 절차 부재와 같은 취약 사유에 해당하는 라인이 점검내용에 없음</t>
        </is>
      </c>
      <c r="H44" s="2" t="inlineStr"/>
    </row>
    <row r="45">
      <c r="B45" s="9" t="inlineStr">
        <is>
          <t>로그 관리</t>
        </is>
      </c>
      <c r="C45" s="9" t="inlineStr">
        <is>
          <t>W-40</t>
        </is>
      </c>
      <c r="D45" s="2" t="inlineStr">
        <is>
          <t>정책에 따른 시스템 로깅 설정</t>
        </is>
      </c>
      <c r="E45" s="2" t="inlineStr">
        <is>
          <t>양호 : 감사 정책 권고 기준에 따라 감사 설정이 되어 있는 경우
취약 : 감사 정책 권고 기준에 따라 감사 설정이 되어 있지 않은 경우</t>
        </is>
      </c>
      <c r="F45" s="16" t="inlineStr">
        <is>
          <t>양호</t>
        </is>
      </c>
      <c r="G45" s="2" t="inlineStr">
        <is>
          <t>- 판단기준의 '감사 정책 권고 기준'은 계정 관리(Account Management) 및 디렉터리 서비스 항목에 대해 '성공 및 실패(Success and Failure)' 감사를 권고하나, 점검내용에서는 해당 항목들이 '실패(Failure)'만 설정되어 성공 이벤트 감사가 누락됨
- 구체적으로 Computer Account Management / Security Group Management / Distribution Group Management / Application Group Management / Other Account Management Events / User Account Management 6개 계정 관리 하위 항목이 모두 'Failure'로만 설정되어, 계정 생성·변경 등 성공 이벤트가 기록되지 않음
- 또한 Directory Service Access / Directory Service Changes / Directory Service Replication / Detailed Directory Service Replication 디렉터리 서비스 4개 항목도 'Failure'로만 설정되어 성공 감사가 누락됨
- 로그온/로그오프, 권한 사용, 정책 변경, 시스템, 계정 로그온 항목은 'Success and Failure'로 정상 설정되었으나, 위 계정 관리·디렉터리 서비스 항목의 성공 감사 누락으로 권고 기준을 완전히 충족하지 못하므로 보수적으로 '취약'으로 판정</t>
        </is>
      </c>
      <c r="H45" s="2" t="inlineStr">
        <is>
          <t>Administrator 기본 계정 이름 변경 및 보안성이 있는 비밀번호 설정</t>
        </is>
      </c>
    </row>
    <row r="46">
      <c r="B46" s="15" t="n"/>
      <c r="C46" s="9" t="inlineStr">
        <is>
          <t>W-41</t>
        </is>
      </c>
      <c r="D46" s="2" t="inlineStr">
        <is>
          <t>NTP 및 시각 동기화 설정</t>
        </is>
      </c>
      <c r="E46" s="2" t="inlineStr">
        <is>
          <t>양호 : NTP 및 시각 동기화를 설정한 경우
취약 : NTP 및 시각 동기화를 설정하지 않은 경우</t>
        </is>
      </c>
      <c r="F46" s="16" t="inlineStr">
        <is>
          <t>양호</t>
        </is>
      </c>
      <c r="G46" s="2" t="inlineStr">
        <is>
          <t>- 판단기준은 'NTP 및 시각 동기화를 설정한 경우' 양호인데, 점검내용 'W32Time=Running'으로 시각 동기화 서비스(Windows Time)가 구동 중임이 확인됨
- 'Type=NTP'로 동기화 방식이 NTP로 지정되어 있어 외부 시각 서버와 동기화하도록 설정되어 있음
- 'NtpServer=169.254.169.123,0x9'로 NTP 서버가 명시적으로 지정되어 있어 시각 동기화 대상이 설정됨
- 서비스 구동·동기화 방식·NTP 서버 지정의 세 요건이 모두 충족되어 양호로 판정함('소스=(추출실패)'는 NtpServer가 명시되어 있어 판정에 영향 없음)</t>
        </is>
      </c>
      <c r="H46" s="2" t="inlineStr"/>
    </row>
    <row r="47">
      <c r="B47" s="15" t="n"/>
      <c r="C47" s="9" t="inlineStr">
        <is>
          <t>W-42</t>
        </is>
      </c>
      <c r="D47" s="2" t="inlineStr">
        <is>
          <t>로그 관리 설정</t>
        </is>
      </c>
      <c r="E47" s="2" t="inlineStr">
        <is>
          <t>양호 : 최대 로그 크기 “10,240KB 이상”으로 설정, “90일 이후 이벤트 덮어씀”을 설정한 경우
취약 : 최대 로그 크기 “10,240KB 미만”으로 설정, 이벤트 덮어씀 기간이 “90일 이하로 설정된 경우</t>
        </is>
      </c>
      <c r="F47" s="16" t="inlineStr">
        <is>
          <t>양호</t>
        </is>
      </c>
      <c r="G47" s="2" t="inlineStr">
        <is>
          <t>- 판단기준의 '최대 로그 크기 10,240KB 이상' 조건 ↔ 점검내용의 'Security MaxSize=20480KB'로, 20480KB ≥ 10240KB 이므로 크기 조건 충족
- 판단기준의 '90일 이후 이벤트 덮어씀(이벤트 손실 방지)' 조건 ↔ 점검내용의 '보관정책=덮어쓰기/보관(손실없음)'으로, 로그가 가득 차도 보관하여 손실이 발생하지 않는 정책이므로 덮어쓰기 기간 조건 충족
- 최대 로그 크기와 보관정책 두 조건을 모두 만족하여 양호로 판정</t>
        </is>
      </c>
      <c r="H47" s="2" t="inlineStr"/>
    </row>
    <row r="48">
      <c r="B48" s="15" t="n"/>
      <c r="C48" s="9" t="inlineStr">
        <is>
          <t>W-43</t>
        </is>
      </c>
      <c r="D48" s="2" t="inlineStr">
        <is>
          <t>이벤트 로그 파일 접근 통제 설정</t>
        </is>
      </c>
      <c r="E48" s="2" t="inlineStr">
        <is>
          <t>양호 : 로그 디렉터리의 접근 권한에 Everyone 권한이 없는 경우
취약 : 로그 디렉터리의 접근 권한에 Everyone 권한이 있는 경우</t>
        </is>
      </c>
      <c r="F48" s="16" t="inlineStr">
        <is>
          <t>양호</t>
        </is>
      </c>
      <c r="G48" s="2" t="inlineStr">
        <is>
          <t>- 판단기준 '양호: 로그 디렉터리 접근 권한에 Everyone 권한이 없는 경우'에 해당하며, 점검내용(winevt\Logs ACL)의 원시 라인은 'Everyone/Users 쓰기 권한 없음'으로 Everyone 권한이 부여되어 있지 않음
- 점검내용 어디에도 Everyone 계정에 대한 접근 권한(특히 쓰기) 항목이 열거되지 않아 취약 조건(Everyone 권한 존재)에 매칭되는 라인이 없음
- 이상치(비표준 Everyone/Users 권한 부여) 항목이 발견되지 않아 차집합상 의심 항목 없음 → 양호 판정</t>
        </is>
      </c>
      <c r="H48" s="2" t="inlineStr"/>
    </row>
    <row r="49">
      <c r="B49" s="9" t="inlineStr">
        <is>
          <t>보안 관리</t>
        </is>
      </c>
      <c r="C49" s="9" t="inlineStr">
        <is>
          <t>W-44</t>
        </is>
      </c>
      <c r="D49" s="2" t="inlineStr">
        <is>
          <t>원격으로 액세스할 수 있는 레지스트리 경로 제한</t>
        </is>
      </c>
      <c r="E49" s="2" t="inlineStr">
        <is>
          <t>양호 : Remote Registry Service가 중지된 경우
취약 : Remote Registry Service가 사용 중인 경우</t>
        </is>
      </c>
      <c r="F49" s="16" t="inlineStr">
        <is>
          <t>양호</t>
        </is>
      </c>
      <c r="G49" s="2" t="inlineStr">
        <is>
          <t>- 판단기준상 'Remote Registry Service가 중지된 경우' 양호로 판정함
- 점검내용 원시 라인 'RemoteRegistry 상태=Stopped' 에서 서비스가 중지(Stopped) 상태임을 확인함
- 원격 레지스트리 접근 경로가 노출될 수 있는 RemoteRegistry 서비스가 미사용 중이므로 양호로 판정함</t>
        </is>
      </c>
      <c r="H49" s="2" t="inlineStr"/>
    </row>
    <row r="50">
      <c r="B50" s="15" t="n"/>
      <c r="C50" s="9" t="inlineStr">
        <is>
          <t>W-45</t>
        </is>
      </c>
      <c r="D50" s="2" t="inlineStr">
        <is>
          <t>백신 프로그램 설치</t>
        </is>
      </c>
      <c r="E50" s="2" t="inlineStr">
        <is>
          <t>양호 : 바이러스 백신 프로그램이 설치된 경우
취약 : 바이러스 백신 프로그램이 설치되어 있지 않은 경우</t>
        </is>
      </c>
      <c r="F50" s="16" t="inlineStr">
        <is>
          <t>양호</t>
        </is>
      </c>
      <c r="G50" s="2" t="inlineStr">
        <is>
          <t>- 판단기준의 '양호: 바이러스 백신 프로그램이 설치된 경우'에 해당하며, 점검내용에서 'Windows Defender(서명 1.453.331.0, 실시간=True)'로 백신 프로그램이 설치되어 있음을 확인함
- 서명 버전(1.453.331.0)이 존재하여 바이러스 정의 파일이 정상적으로 적용되어 있고, 실시간 보호(실시간=True)가 활성화되어 있어 백신이 동작 중임
- 백신 미설치 사유에 해당하는 항목이 없으므로 '취약' 조건에 해당하지 않음</t>
        </is>
      </c>
      <c r="H50" s="2" t="inlineStr"/>
    </row>
    <row r="51">
      <c r="B51" s="15" t="n"/>
      <c r="C51" s="9" t="inlineStr">
        <is>
          <t>W-46</t>
        </is>
      </c>
      <c r="D51" s="2" t="inlineStr">
        <is>
          <t>SAM 파일 접근 통제 설정</t>
        </is>
      </c>
      <c r="E51" s="2" t="inlineStr">
        <is>
          <t>양호 : SAM 파일 접근 권한에 Administrator, System 그룹만 모든 권한으로 설정된 경우
취약 : SAM 파일 접근 권한에 Administrator, System 그룹 외 다른 그룹에 권한이 설정된 경우</t>
        </is>
      </c>
      <c r="F51" s="16" t="inlineStr">
        <is>
          <t>양호</t>
        </is>
      </c>
      <c r="G51" s="2" t="inlineStr">
        <is>
          <t>- 판단기준의 양호 조건은 SAM 파일 접근 권한에 Administrator, System 그룹만 모든 권한으로 설정된 경우임
- 점검내용(로우데이터)에 'Everyone/Users 권한 없음'으로 명시되어, Administrator·System 외 일반 사용자 그룹(Everyone, Users)에 권한이 부여되지 않음을 확인
- 취약 조건인 'Administrator, System 외 다른 그룹에 권한 설정'에 해당하는 항목이 발견되지 않으므로 양호로 판정</t>
        </is>
      </c>
      <c r="H51" s="2" t="inlineStr"/>
    </row>
    <row r="52">
      <c r="B52" s="15" t="n"/>
      <c r="C52" s="9" t="inlineStr">
        <is>
          <t>W-47</t>
        </is>
      </c>
      <c r="D52" s="2" t="inlineStr">
        <is>
          <t>화면보호기 설정</t>
        </is>
      </c>
      <c r="E52" s="2" t="inlineStr">
        <is>
          <t>양호 : 화면 보호기를 설정하고 대기 시간이 10분 이하의 값으로 설정되어 있으며, 화면 보호기 해제를 위한 암호를 사용하는 경우
취약 : 화면 보호기가 설정되지 않았거나 암호를 사용하지 않거나, 화면 보호기 대기 시간이 10분을 초과한 값으로 설정된 경우</t>
        </is>
      </c>
      <c r="F52" s="16" t="inlineStr">
        <is>
          <t>양호</t>
        </is>
      </c>
      <c r="G52" s="2" t="inlineStr">
        <is>
          <t>- 판단기준의 '화면 보호기를 설정'(ScreenSaveActive) 조건 ↔ 점검내용 ScreenSaveActive=1 로 화면 보호기가 활성화되어 있음
- 판단기준의 '해제를 위한 암호 사용'(IsSecure) 조건 ↔ 점검내용 IsSecure=1 로 암호가 설정되어 있음
- 판단기준의 '대기 시간이 10분 이하' 조건 ↔ 점검내용 TimeOut=600(초)=10분 으로 10분을 초과하지 않음(경계값 충족)
- 세 조건(설정·암호·10분 이하)을 모두 만족하므로 양호로 판정</t>
        </is>
      </c>
      <c r="H52" s="2" t="inlineStr"/>
    </row>
    <row r="53">
      <c r="B53" s="15" t="n"/>
      <c r="C53" s="9" t="inlineStr">
        <is>
          <t>W-48</t>
        </is>
      </c>
      <c r="D53" s="2" t="inlineStr">
        <is>
          <t>로그온하지 않고 시스템 종료 허용 해제</t>
        </is>
      </c>
      <c r="E53" s="2" t="inlineStr">
        <is>
          <t>양호 : “로그온하지 않고 시스템 종료 허용”이 “사용 안 함”으로 설정된 경우
취약 : “로그온하지 않고 시스템 종료 허용”이 “사용”으로 설정된 경우</t>
        </is>
      </c>
      <c r="F53" s="16" t="inlineStr">
        <is>
          <t>양호</t>
        </is>
      </c>
      <c r="G53" s="2" t="inlineStr">
        <is>
          <t>- 판단기준의 양호 조건은 ‘로그온하지 않고 시스템 종료 허용’이 ‘사용 안 함’으로 설정된 경우이며, 레지스트리 값 ShutdownWithoutLogon 이 0 이면 ‘사용 안 함’에 해당함
- 점검내용 로우데이터의 ‘값=0’ 라인이 ShutdownWithoutLogon=0 을 의미하므로 로그온하지 않은 상태의 시스템 종료가 비활성화됨
- 취약 조건(값=1, ‘사용’)에 해당하지 않으므로 양호로 판정</t>
        </is>
      </c>
      <c r="H53" s="2" t="inlineStr"/>
    </row>
    <row r="54">
      <c r="B54" s="15" t="n"/>
      <c r="C54" s="9" t="inlineStr">
        <is>
          <t>W-49</t>
        </is>
      </c>
      <c r="D54" s="2" t="inlineStr">
        <is>
          <t>원격 시스템에서 강제로 시스템 종료 제한</t>
        </is>
      </c>
      <c r="E54" s="2" t="inlineStr">
        <is>
          <t>양호 : “원격 시스템에서 강제로 시스템 종료” 정책에 “Administrators”만 존재하는 경우
취약 : “원격 시스템에서 강제로 시스템 종료” 정책에 “Administrators” 외 다른 계정 및 그룹이 존재하 는 경우</t>
        </is>
      </c>
      <c r="F54" s="16" t="inlineStr">
        <is>
          <t>양호</t>
        </is>
      </c>
      <c r="G54" s="2" t="inlineStr">
        <is>
          <t>- 판단기준의 양호 조건은 '원격 시스템에서 강제로 시스템 종료'(SeRemoteShutdownPrivilege) 정책에 'Administrators'만 존재하는 경우임
- 점검내용(로우데이터)에는 'BUILTIN\Administrators [*S-1-5-32-544]' 단일 항목만 존재하며, S-1-5-32-544는 내장 Administrators 그룹의 표준 SID로 정확히 일치함
- Administrators 외 다른 계정·그룹(Everyone, Users, Power Users, Backup Operators 등)이나 비표준 SID는 발견되지 않아 화이트리스트 차집합상 의심 항목 없음</t>
        </is>
      </c>
      <c r="H54" s="2" t="inlineStr"/>
    </row>
    <row r="55">
      <c r="B55" s="15" t="n"/>
      <c r="C55" s="9" t="inlineStr">
        <is>
          <t>W-50</t>
        </is>
      </c>
      <c r="D55" s="2" t="inlineStr">
        <is>
          <t>보안 감사를 로그할 수 없는 경우 즉시 시스템 종료</t>
        </is>
      </c>
      <c r="E55" s="2" t="inlineStr">
        <is>
          <t>양호 : “보안 감사를 로그 할 수 없는 경우 즉시 시스템 종료” 정책이 “사용 안 함”으로 되어있는 경우
취약 : “보안 감사를 로그 할 수 없는 경우</t>
        </is>
      </c>
      <c r="F55" s="16" t="inlineStr">
        <is>
          <t>양호</t>
        </is>
      </c>
      <c r="G55" s="2" t="inlineStr">
        <is>
          <t>- 판단기준은 '보안 감사를 로그 할 수 없는 경우 즉시 시스템 종료' 정책(Lsa\CrashOnAuditFail)이 '사용 안 함'일 때 양호로 규정함
- 점검내용(로우데이터)의 'CrashOnAuditFail 값=0'은 해당 정책이 비활성화('사용 안 함')된 상태를 의미함
- 따라서 감사 로그 실패 시 시스템이 강제 종료되지 않는 안전한 설정으로 양호로 판정함</t>
        </is>
      </c>
      <c r="H55" s="2" t="inlineStr"/>
    </row>
    <row r="56">
      <c r="B56" s="15" t="n"/>
      <c r="C56" s="9" t="inlineStr">
        <is>
          <t>W-51</t>
        </is>
      </c>
      <c r="D56" s="2" t="inlineStr">
        <is>
          <t>SAM 계정과 공유의 익명 열거 허용 안 함</t>
        </is>
      </c>
      <c r="E56" s="2" t="inlineStr">
        <is>
          <t>양호 : “SAM 계정과 공유의 익명 열거 허용 안 함”이 “사용”으로 설정된 경우
취약 : “SAM 계정과 공유의 익명 열거 허용 안 함”이 “사용 안 함”으로 설정된 경우</t>
        </is>
      </c>
      <c r="F56" s="16" t="inlineStr">
        <is>
          <t>양호</t>
        </is>
      </c>
      <c r="G56" s="2" t="inlineStr">
        <is>
          <t>- 판단기준의 양호 조건은 'SAM 계정과 공유의 익명 열거 허용 안 함'이 '사용'(레지스트리 값 1)으로 설정된 경우임
- 점검내용 라인 'RestrictAnonymousSAM=1'은 SAM 계정 익명 열거 제한이 사용(1)으로 설정되어 있음을 의미함
- 함께 확인된 'RestrictAnonymous=1' 또한 익명 연결 제한이 활성화되어 있어 익명 열거가 차단된 상태임
- 두 값 모두 1(사용)이므로 익명 열거 허용 안 함이 적용되어 양호로 판정함</t>
        </is>
      </c>
      <c r="H56" s="2" t="inlineStr"/>
    </row>
    <row r="57">
      <c r="B57" s="15" t="n"/>
      <c r="C57" s="9" t="inlineStr">
        <is>
          <t>W-52</t>
        </is>
      </c>
      <c r="D57" s="2" t="inlineStr">
        <is>
          <t>Autologon 기능 제어</t>
        </is>
      </c>
      <c r="E57" s="2" t="inlineStr">
        <is>
          <t>양호 : AutoAdminLogon 값이 없거나 0으로 설정된 경우
취약 : AutoAdminLogon 값이 1로 설정된 경우</t>
        </is>
      </c>
      <c r="F57" s="16" t="inlineStr">
        <is>
          <t>양호</t>
        </is>
      </c>
      <c r="G57" s="2" t="inlineStr">
        <is>
          <t>- 판단기준의 양호 조건은 'AutoAdminLogon 값이 없거나 0으로 설정된 경우'임
- 점검내용(로우데이터)의 '값=(미설정)' 라인은 Winlogon\AutoAdminLogon 레지스트리 값이 존재하지 않음(미설정)을 의미함
- 값이 1로 설정되어 자동 로그온이 활성화된 취약 조건에 해당하지 않으며, 미설정 상태는 양호 조건에 정확히 부합함</t>
        </is>
      </c>
      <c r="H57" s="2" t="inlineStr"/>
    </row>
    <row r="58">
      <c r="B58" s="15" t="n"/>
      <c r="C58" s="9" t="inlineStr">
        <is>
          <t>W-53</t>
        </is>
      </c>
      <c r="D58" s="2" t="inlineStr">
        <is>
          <t>이동식 미디어 포맷 및 꺼내기 허용 제한</t>
        </is>
      </c>
      <c r="E58" s="2" t="inlineStr">
        <is>
          <t>양호 : “이동식 미디어 포맷 및 꺼내기 허용” 정책이 “Administrators”로 되어있는 경우
취약 : “이동식 미디어 포맷 및 꺼내기 허용” 정책이 “Administrators”로 되어있지 않은 경우</t>
        </is>
      </c>
      <c r="F58" s="16" t="inlineStr">
        <is>
          <t>양호</t>
        </is>
      </c>
      <c r="G58" s="2" t="inlineStr">
        <is>
          <t>- 판단기준은 “이동식 미디어 포맷 및 꺼내기 허용” 정책이 “Administrators”로 설정된 경우 양호임
- 점검내용의 Winlogon\AllocateDASD 값=0 은 해당 정책이 “Administrators”에 할당된 상태를 의미함(1=Administrators and Power Users, 2=Administrators and Interactive Users)
- 따라서 값=0 은 Administrators만 허용하는 설정이므로 양호로 판정함</t>
        </is>
      </c>
      <c r="H58" s="2" t="inlineStr"/>
    </row>
    <row r="59">
      <c r="B59" s="15" t="n"/>
      <c r="C59" s="9" t="inlineStr">
        <is>
          <t>W-54</t>
        </is>
      </c>
      <c r="D59" s="2" t="inlineStr">
        <is>
          <t>DoS 공격 방어 레지스트리 설정</t>
        </is>
      </c>
      <c r="E59" s="2" t="inlineStr">
        <is>
          <t>양호 : 아래 4가지 DoS 방어 레지스트리를 설정한 경우 Ÿ SynAttackProtect → 1이상 Ÿ EnableDeadGWDetect → 0 Ÿ KeepAliveTime → 300,000 Ÿ NoNameReleaseOnDemand → 1
취약 : DoS 방어 레지스트리 값이 설정되어 있지 않은 경우</t>
        </is>
      </c>
      <c r="F59" s="16" t="inlineStr">
        <is>
          <t>양호</t>
        </is>
      </c>
      <c r="G59" s="2" t="inlineStr">
        <is>
          <t>- 판단기준의 SynAttackProtect → 1이상 조건 ↔ 점검내용 'SynAttackProtect=1' 로 충족(1 이상)
- 판단기준의 EnableDeadGWDetect → 0 조건 ↔ 점검내용 'EnableDeadGWDetect=0' 으로 일치
- 판단기준의 KeepAliveTime → 300,000 조건 ↔ 점검내용 'KeepAliveTime=300000' 으로 일치
- 판단기준의 NoNameReleaseOnDemand → 1 조건 ↔ 점검내용 'NoNameReleaseOnDemand=1' 으로 일치
- 4가지 DoS 방어 레지스트리 값이 모두 권장 기준대로 설정되어 있어 이상치 없음 → '양호'</t>
        </is>
      </c>
      <c r="H59" s="2" t="inlineStr"/>
    </row>
    <row r="60">
      <c r="B60" s="15" t="n"/>
      <c r="C60" s="9" t="inlineStr">
        <is>
          <t>W-55</t>
        </is>
      </c>
      <c r="D60" s="2" t="inlineStr">
        <is>
          <t>사용자가 프린터 드라이버를 설치할 수 없게 함</t>
        </is>
      </c>
      <c r="E60" s="2" t="inlineStr">
        <is>
          <t>양호 : “사용자가 프린터 드라이버를 설치할 수 없게 함” 정책이 “사용”인 경우
취약 : “사용자가 프린터 드라이버를 설치할 수 없게 함” 정책이 “사용 안 함”인 경우</t>
        </is>
      </c>
      <c r="F60" s="14" t="inlineStr">
        <is>
          <t>취약</t>
        </is>
      </c>
      <c r="G60" s="2" t="inlineStr">
        <is>
          <t>- 판단기준상 '사용자가 프린터 드라이버를 설치할 수 없게 함' 정책이 '사용'(레지스트리 AddPrinterDrivers=1)이면 양호, '사용 안 함'(=0)이면 취약임
- 점검내용(로우데이터)에 '값=0'으로 명시되어 있어, 해당 정책이 '사용 안 함' 상태로 적용되어 있음
- 따라서 일반 사용자가 프린터 드라이버를 설치할 수 있는 상태이므로 판단기준의 취약 조건에 해당함</t>
        </is>
      </c>
      <c r="H60" s="2" t="inlineStr">
        <is>
          <t>Administrator 기본 계정 이름 변경 및 보안성이 있는 비밀번호 설정</t>
        </is>
      </c>
    </row>
    <row r="61">
      <c r="B61" s="15" t="n"/>
      <c r="C61" s="9" t="inlineStr">
        <is>
          <t>W-56</t>
        </is>
      </c>
      <c r="D61" s="2" t="inlineStr">
        <is>
          <t>SMB 세션 중단 관리 설정</t>
        </is>
      </c>
      <c r="E61" s="2" t="inlineStr">
        <is>
          <t>양호 : “로그온 시간이 만료되면 클라이언트 연결 끊기” 정책을 “사용”으로, “세션 연결을 중단하기 전에 필요한 유휴 시간” 정책을 “15분” 이하로 설정한 경우
취약 : “로그온 시간이 만료되면 클라이언트 연결 끊기” 정책이 “사용 안 함” 또는 “세션 연결을 중단하기 전에 필요한 유휴 시간” 정책이 “15분” 초과로 설정한 경우</t>
        </is>
      </c>
      <c r="F61" s="16" t="inlineStr">
        <is>
          <t>양호</t>
        </is>
      </c>
      <c r="G61" s="2" t="inlineStr">
        <is>
          <t>- 판단기준의 '로그온 시간이 만료되면 클라이언트 연결 끊기' 정책이 '사용'이어야 한다는 조건 ↔ 점검내용의 EnableForcedLogOff=사용 으로 일치함
- 판단기준의 '세션 연결을 중단하기 전에 필요한 유휴 시간'이 '15분 이하'여야 한다는 조건 ↔ 점검내용의 AutoDisconnect=15분 으로 15분 이하 기준을 충족함
- 두 정책 모두 양호 조건을 만족하므로 취약 사유(EnableForcedLogOff '사용 안 함' 또는 AutoDisconnect '15분 초과')에 해당하지 않음</t>
        </is>
      </c>
      <c r="H61" s="2" t="inlineStr"/>
    </row>
    <row r="62">
      <c r="B62" s="15" t="n"/>
      <c r="C62" s="9" t="inlineStr">
        <is>
          <t>W-57</t>
        </is>
      </c>
      <c r="D62" s="2" t="inlineStr">
        <is>
          <t>로그온 시 경고 메시지 설정</t>
        </is>
      </c>
      <c r="E62" s="2" t="inlineStr">
        <is>
          <t>양호 : 로그인 경고 메시지 제목 및 내용이 설정된 경우
취약 : 로그인 경고 메시지 제목 및 내용이 설정되어 있지 않은 경우</t>
        </is>
      </c>
      <c r="F62" s="16" t="inlineStr">
        <is>
          <t>양호</t>
        </is>
      </c>
      <c r="G62" s="2" t="inlineStr">
        <is>
          <t>- 판단기준의 양호 조건은 '로그인 경고 메시지 제목 및 내용이 모두 설정된 경우'이며, 점검파일 Policies\System\LegalNotice 의 제목(Caption)과 내용(Text)을 확인 대상으로 한다.
- 점검내용(로우데이터)에서 Caption='warning' 으로 제목이 설정되어 있어 경고 메시지 제목 조건을 충족한다.
- 점검내용(로우데이터)에서 Text 설정됨 으로 경고 메시지 내용 조건도 충족한다.
- 제목과 내용이 모두 설정되어 있고 비어 있는 값이 확인되지 않으므로 양호로 판정한다.</t>
        </is>
      </c>
      <c r="H62" s="2" t="inlineStr"/>
    </row>
    <row r="63">
      <c r="B63" s="15" t="n"/>
      <c r="C63" s="9" t="inlineStr">
        <is>
          <t>W-58</t>
        </is>
      </c>
      <c r="D63" s="2" t="inlineStr">
        <is>
          <t>사용자별 홈 디렉터리 권한 설정</t>
        </is>
      </c>
      <c r="E63" s="2" t="inlineStr">
        <is>
          <t>양호 : 홈 디렉터리에 Everyone 권한이 없는 경우 (All Users, Default User 디렉터리 제외)
취약 : 홈 디렉터리에 Everyone 권한이 있는 경우</t>
        </is>
      </c>
      <c r="F63" s="16" t="inlineStr">
        <is>
          <t>양호</t>
        </is>
      </c>
      <c r="G63" s="2" t="inlineStr">
        <is>
          <t>- 판단기준의 양호 조건은 '홈 디렉터리에 Everyone 권한이 없는 경우(All Users, Default User 제외)'임
- 점검내용상 C:\Users 사용자 디렉터리는 1개(C:\Users\Administrator)이며 'Everyone 권한 없음'으로 확인됨
- Everyone 권한이 부여된 사용자 홈 디렉터리가 없고, 비표준 의심 항목도 발견되지 않으므로 양호로 판정함</t>
        </is>
      </c>
      <c r="H63" s="2" t="inlineStr"/>
    </row>
    <row r="64">
      <c r="B64" s="15" t="n"/>
      <c r="C64" s="9" t="inlineStr">
        <is>
          <t>W-59</t>
        </is>
      </c>
      <c r="D64" s="2" t="inlineStr">
        <is>
          <t>LAN Manager 인증 수준</t>
        </is>
      </c>
      <c r="E64" s="2" t="inlineStr">
        <is>
          <t>양호 : "LAN Manager 인증 수준" 정책에 "NTLMv2 응답만 보냄"이 설정되어 있는 경우
취약 : "LAN Manager 인증 수준" 정책에 "LM" 및 "NTLM"인증이 설정되어 있는 경우</t>
        </is>
      </c>
      <c r="F64" s="16" t="inlineStr">
        <is>
          <t>양호</t>
        </is>
      </c>
      <c r="G64" s="2" t="inlineStr">
        <is>
          <t>- 판단기준의 양호 조건은 "LAN Manager 인증 수준" 정책이 "NTLMv2 응답만 보냄"으로 설정된 경우이며, 이는 LmCompatibilityLevel 레지스트리 값 3에 해당함
- 점검내용(로우데이터)의 값이 '값=3'으로, LM 및 NTLM 인증을 거부하고 NTLMv2 응답만 전송하는 설정에 정확히 일치함
- 취약 조건인 "LM" 및 "NTLM" 인증 설정(값 0~2)에 해당하지 않으므로 양호로 판정함</t>
        </is>
      </c>
      <c r="H64" s="2" t="inlineStr"/>
    </row>
    <row r="65">
      <c r="B65" s="15" t="n"/>
      <c r="C65" s="9" t="inlineStr">
        <is>
          <t>W-60</t>
        </is>
      </c>
      <c r="D65" s="2" t="inlineStr">
        <is>
          <t>보안 채널 데이터 디지털 암호화 또는 서명</t>
        </is>
      </c>
      <c r="E65" s="2" t="inlineStr">
        <is>
          <t>양호 : 아래 3가지 정책 모두 “사용"으로 되어있는 경우 Ÿ 도메인 구성원: 보안 채널 데이터를 디지털 암호화 또는 서명(항상) Ÿ 도메인 구성원: 보안 채널 데이터를 디지털 암호화(가능한 경우) Ÿ 도메인 구성원: 보안 채널 데이터 디지털 서명(가능한 경우)
취약 : 아래 3가지 정책 중 일부가 "사용 안 함"으로 되어있는 경우</t>
        </is>
      </c>
      <c r="F65" s="16" t="inlineStr">
        <is>
          <t>양호</t>
        </is>
      </c>
      <c r="G65" s="2" t="inlineStr">
        <is>
          <t>- 판단기준은 '도메인 구성원: 보안 채널 데이터를 디지털 암호화 또는 서명(항상)' 등 3가지 정책이 모두 '사용'으로 설정되어야 양호이며, 이는 레지스트리 Netlogon\RequireSignOrSeal 값으로 반영됨
- 점검내용(로우데이터)의 '값=1'은 RequireSignOrSeal 정책이 '사용(Enabled)'으로 설정되었음을 의미함(0=사용 안 함, 1=사용)
- 해당 값이 1로 설정되어 보안 채널 데이터의 디지털 암호화/서명 정책이 활성화되어 있으므로 양호로 판정</t>
        </is>
      </c>
      <c r="H65" s="2" t="inlineStr"/>
    </row>
    <row r="66">
      <c r="B66" s="15" t="n"/>
      <c r="C66" s="9" t="inlineStr">
        <is>
          <t>W-61</t>
        </is>
      </c>
      <c r="D66" s="2" t="inlineStr">
        <is>
          <t>파일 및 디렉터리 보호</t>
        </is>
      </c>
      <c r="E66" s="2" t="inlineStr">
        <is>
          <t>양호 : NTFS 파일 시스템을 사용하는 경우
취약 : FAT 파일 시스템을 사용하는 경우</t>
        </is>
      </c>
      <c r="F66" s="16" t="inlineStr">
        <is>
          <t>양호</t>
        </is>
      </c>
      <c r="G66" s="2" t="inlineStr">
        <is>
          <t>- 판단기준상 NTFS 파일 시스템을 사용하는 경우 '양호', FAT 파일 시스템을 사용하는 경우 '취약'으로 판정한다.
- 점검내용(로우데이터)에서 'C: = NTFS'로 확인되어 시스템 드라이브가 NTFS 파일 시스템을 사용하고 있다.
- FAT 계열 파일 시스템은 확인되지 않으므로 양호로 판정한다.</t>
        </is>
      </c>
      <c r="H66" s="2" t="inlineStr"/>
    </row>
    <row r="67">
      <c r="B67" s="15" t="n"/>
      <c r="C67" s="9" t="inlineStr">
        <is>
          <t>W-62</t>
        </is>
      </c>
      <c r="D67" s="2" t="inlineStr">
        <is>
          <t>시작프로그램 목록 분석</t>
        </is>
      </c>
      <c r="E67" s="2" t="inlineStr">
        <is>
          <t>양호 : 시작 프로그램 목록을 정기적으로 검사하고 불필요한 서비스를 비활성화한 경우
취약 : 시작 프로그램 목록을 정기적으로 검사하지 않고, 부팅 시 불필요한 서비스도 실행되고 있는 경우</t>
        </is>
      </c>
      <c r="F67" s="17" t="inlineStr">
        <is>
          <t>N/A</t>
        </is>
      </c>
      <c r="G67" s="2" t="inlineStr">
        <is>
          <t>- 판단기준의 '시작 프로그램 목록을 정기적으로 검사하고 불필요한 서비스를 비활성화한 경우(양호)' ↔ 점검내용에 등록된 시작프로그램이 총 1개로 매우 단순하게 관리되고 있음
- 등록 항목 'SecurityHealth = C:\Windows\system32\SecurityHealthSystray.exe' ↔ Windows Defender(보안 센터) 시스템 트레이로, Microsoft 정식 서명·표준 경로(C:\Windows\system32)의 OS 기본 구성요소에 해당하여 정상 항목임
- 화이트리스트 차집합 관점에서 비표준 경로(사용자 홈/Temp/AppData 등)나 알 수 없는 실행 파일 등 의심 항목이 Run/RunOnce 키에 발견되지 않음
- 부팅 시 자동 실행되는 불필요·악성 의심 프로그램이 존재하지 않으므로 취약 조건(불필요한 서비스가 실행되는 경우)에 해당하지 않음</t>
        </is>
      </c>
      <c r="H67" s="2" t="inlineStr"/>
    </row>
    <row r="68">
      <c r="B68" s="15" t="n"/>
      <c r="C68" s="9" t="inlineStr">
        <is>
          <t>W-63</t>
        </is>
      </c>
      <c r="D68" s="2" t="inlineStr">
        <is>
          <t>도메인 컨트롤러 사용자 시간 동기화</t>
        </is>
      </c>
      <c r="E68" s="2" t="inlineStr">
        <is>
          <t>양호 : 컴퓨터 시계 동기화 최대 허용 오차값이 5분 이하인 경우
취약 : 컴퓨터 시계 동기화 최대 허용 오차값이 5분 초과인 경우</t>
        </is>
      </c>
      <c r="F68" s="17" t="inlineStr">
        <is>
          <t>N/A</t>
        </is>
      </c>
      <c r="G68" s="2" t="inlineStr">
        <is>
          <t>- 본 항목(W-63)은 '도메인 컨트롤러'에서 컴퓨터 시계 동기화 최대 허용 오차값(기본 정책: 5분)을 점검하는 항목임
- 점검내용 로우데이터의 '역할=2(비 도메인 컨트롤러)'는 진단대상 서버가 도메인 컨트롤러가 아님을 의미함
- 도메인 컨트롤러가 아닌 시스템은 본 항목의 점검 대상이 아니므로 N/A로 판정함(증적 부족이 아닌 '점검 대상 아님' 사유)</t>
        </is>
      </c>
      <c r="H68" s="2" t="inlineStr"/>
    </row>
    <row r="69">
      <c r="B69" s="15" t="n"/>
      <c r="C69" s="9" t="inlineStr">
        <is>
          <t>W-64</t>
        </is>
      </c>
      <c r="D69" s="2" t="inlineStr">
        <is>
          <t>윈도우 방화벽 설정</t>
        </is>
      </c>
      <c r="E69" s="2" t="inlineStr">
        <is>
          <t>양호 : Windows 방화벽 “사용”으로 설정된 경우
취약 : Windows 방화벽 “사용 안 함”으로 설정된 경우</t>
        </is>
      </c>
      <c r="F69" s="16" t="inlineStr">
        <is>
          <t>양호</t>
        </is>
      </c>
      <c r="G69" s="2" t="inlineStr">
        <is>
          <t>- 판단기준의 양호 조건은 'Windows 방화벽 사용으로 설정된 경우'이며, 모든 프로필이 사용으로 설정되어야 함
- 점검내용(로우데이터)에 'Domain/Private/Public 모두 사용'으로 명시되어, 세 프로필 전부 방화벽이 사용으로 설정됨
- 사용 안 함으로 설정된 프로필이 없어 취약 조건에 해당하지 않으므로 양호로 판정</t>
        </is>
      </c>
      <c r="H69" s="2" t="inlineStr"/>
    </row>
  </sheetData>
  <mergeCells count="13">
    <mergeCell ref="H3:H5"/>
    <mergeCell ref="B43:B44"/>
    <mergeCell ref="C3:C5"/>
    <mergeCell ref="G3:G5"/>
    <mergeCell ref="B6:B19"/>
    <mergeCell ref="E3:E5"/>
    <mergeCell ref="B2:H2"/>
    <mergeCell ref="F3:F5"/>
    <mergeCell ref="D3:D5"/>
    <mergeCell ref="B3:B5"/>
    <mergeCell ref="B20:B42"/>
    <mergeCell ref="B45:B48"/>
    <mergeCell ref="B49:B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2026-06-29T07:40:07Z</dcterms:created>
  <dcterms:modified xsi:type="dcterms:W3CDTF">2026-06-29T07:40:07Z</dcterms:modified>
</cp:coreProperties>
</file>