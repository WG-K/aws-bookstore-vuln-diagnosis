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 표지" sheetId="1" state="visible" r:id="rId1"/>
    <sheet name="1. 진단 대상" sheetId="2" state="visible" r:id="rId2"/>
    <sheet name="2-1. 요약결과(그래프)" sheetId="3" state="visible" r:id="rId3"/>
    <sheet name="2-2. 요약 진단결과" sheetId="4" state="visible" r:id="rId4"/>
    <sheet name="3-1. 진단 결과" sheetId="5" state="visible" r:id="rId5"/>
  </sheets>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b val="1"/>
    </font>
    <font>
      <b val="1"/>
      <sz val="28"/>
    </font>
    <font>
      <b val="1"/>
      <sz val="16"/>
    </font>
    <font>
      <sz val="12"/>
    </font>
    <font>
      <b val="1"/>
      <color rgb="00FFFFFF"/>
    </font>
    <font>
      <b val="1"/>
      <sz val="12"/>
    </font>
    <font>
      <b val="1"/>
      <sz val="13"/>
    </font>
  </fonts>
  <fills count="7">
    <fill>
      <patternFill/>
    </fill>
    <fill>
      <patternFill patternType="gray125"/>
    </fill>
    <fill>
      <patternFill patternType="solid">
        <fgColor rgb="001F4E78"/>
      </patternFill>
    </fill>
    <fill>
      <patternFill patternType="solid">
        <fgColor rgb="00DED9C4"/>
      </patternFill>
    </fill>
    <fill>
      <patternFill patternType="solid">
        <fgColor rgb="00E2EFDA"/>
      </patternFill>
    </fill>
    <fill>
      <patternFill patternType="solid">
        <fgColor rgb="00EDEDED"/>
      </patternFill>
    </fill>
    <fill>
      <patternFill patternType="solid">
        <fgColor rgb="00FCE4E4"/>
      </patternFill>
    </fill>
  </fills>
  <borders count="5">
    <border>
      <left/>
      <right/>
      <top/>
      <bottom/>
      <diagonal/>
    </border>
    <border>
      <left style="thin">
        <color rgb="00BFBFBF"/>
      </left>
      <right style="thin">
        <color rgb="00BFBFBF"/>
      </right>
      <top style="thin">
        <color rgb="00BFBFBF"/>
      </top>
      <bottom style="thin">
        <color rgb="00BFBFBF"/>
      </bottom>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2" fillId="0" borderId="0" applyAlignment="1" pivotButton="0" quotePrefix="0" xfId="0">
      <alignment horizontal="center" vertical="center" wrapText="1"/>
    </xf>
    <xf numFmtId="0" fontId="3" fillId="0" borderId="0" applyAlignment="1" pivotButton="0" quotePrefix="0" xfId="0">
      <alignment horizontal="center" vertical="center" wrapText="1"/>
    </xf>
    <xf numFmtId="0" fontId="4" fillId="0" borderId="0" applyAlignment="1" pivotButton="0" quotePrefix="0" xfId="0">
      <alignment horizontal="center" vertical="center" wrapText="1"/>
    </xf>
    <xf numFmtId="0" fontId="1" fillId="0" borderId="0" pivotButton="0" quotePrefix="0" xfId="0"/>
    <xf numFmtId="0" fontId="5" fillId="2" borderId="1" applyAlignment="1" pivotButton="0" quotePrefix="0" xfId="0">
      <alignment horizontal="center" vertical="center" wrapText="1"/>
    </xf>
    <xf numFmtId="0" fontId="0" fillId="2" borderId="1" pivotButton="0" quotePrefix="0" xfId="0"/>
    <xf numFmtId="0" fontId="0" fillId="0" borderId="1" applyAlignment="1" pivotButton="0" quotePrefix="0" xfId="0">
      <alignment horizontal="center" vertical="center" wrapText="1"/>
    </xf>
    <xf numFmtId="0" fontId="6" fillId="3" borderId="1" applyAlignment="1" pivotButton="0" quotePrefix="0" xfId="0">
      <alignment horizontal="center" vertical="center" wrapText="1"/>
    </xf>
    <xf numFmtId="0" fontId="0" fillId="3" borderId="1" pivotButton="0" quotePrefix="0" xfId="0"/>
    <xf numFmtId="164" fontId="0" fillId="0" borderId="1" applyAlignment="1" pivotButton="0" quotePrefix="0" xfId="0">
      <alignment horizontal="center" vertical="center" wrapText="1"/>
    </xf>
    <xf numFmtId="0" fontId="7" fillId="0" borderId="0" applyAlignment="1" pivotButton="0" quotePrefix="0" xfId="0">
      <alignment horizontal="center" vertical="center" wrapText="1"/>
    </xf>
    <xf numFmtId="0" fontId="0"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center" vertical="center" wrapText="1"/>
    </xf>
    <xf numFmtId="1" fontId="0" fillId="0" borderId="1" applyAlignment="1" pivotButton="0" quotePrefix="0" xfId="0">
      <alignment horizontal="center" vertical="center" wrapText="1"/>
    </xf>
    <xf numFmtId="0" fontId="0"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plotArea>
      <radarChart>
        <radarStyle val="standard"/>
        <ser>
          <idx val="0"/>
          <order val="0"/>
          <tx>
            <strRef>
              <f>'2-1. 요약결과(그래프)'!C4</f>
            </strRef>
          </tx>
          <spPr>
            <a:ln w="28575">
              <a:solidFill>
                <a:srgbClr val="4472C4"/>
              </a:solidFill>
              <a:prstDash val="solid"/>
            </a:ln>
          </spPr>
          <marker>
            <symbol val="none"/>
            <spPr>
              <a:ln>
                <a:prstDash val="solid"/>
              </a:ln>
            </spPr>
          </marker>
          <cat>
            <numRef>
              <f>'2-1. 요약결과(그래프)'!$B$5:$B$9</f>
            </numRef>
          </cat>
          <val>
            <numRef>
              <f>'2-1. 요약결과(그래프)'!$C$5:$C$9</f>
            </numRef>
          </val>
        </ser>
        <axId val="10"/>
        <axId val="100"/>
      </radarChart>
      <catAx>
        <axId val="10"/>
        <scaling>
          <orientation val="minMax"/>
        </scaling>
        <delete val="0"/>
        <axPos val="l"/>
        <majorTickMark val="none"/>
        <minorTickMark val="none"/>
        <crossAx val="100"/>
        <lblOffset val="100"/>
      </catAx>
      <valAx>
        <axId val="100"/>
        <scaling>
          <orientation val="minMax"/>
          <max val="1"/>
          <min val="0"/>
        </scaling>
        <delete val="0"/>
        <axPos val="l"/>
        <majorGridlines/>
        <numFmt formatCode="0%" sourceLinked="0"/>
        <majorTickMark val="none"/>
        <minorTickMark val="none"/>
        <txPr>
          <a:bodyPr/>
          <a:p>
            <a:pPr>
              <a:defRPr sz="900">
                <a:solidFill>
                  <a:srgbClr val="BFBFBF"/>
                </a:solidFill>
              </a:defRPr>
            </a:pPr>
            <a:r>
              <a:t/>
            </a:r>
            <a:endParaRPr sz="900">
              <a:solidFill>
                <a:srgbClr val="BFBFBF"/>
              </a:solidFill>
            </a:endParaRPr>
          </a:p>
        </txPr>
        <crossAx val="10"/>
        <majorUnit val="0.2"/>
      </valAx>
    </plotArea>
    <plotVisOnly val="1"/>
    <dispBlanksAs val="gap"/>
  </chart>
</chartSpace>
</file>

<file path=xl/charts/chart2.xml><?xml version="1.0" encoding="utf-8"?>
<chartSpace xmlns:a="http://schemas.openxmlformats.org/drawingml/2006/main" xmlns="http://schemas.openxmlformats.org/drawingml/2006/chart">
  <chart>
    <plotArea>
      <layout>
        <manualLayout>
          <xMode val="edge"/>
          <yMode val="edge"/>
          <wMode val="factor"/>
          <hMode val="factor"/>
          <x val="0.22"/>
          <y val="0.06"/>
          <w val="0.5600000000000001"/>
          <h val="0.72"/>
        </manualLayout>
      </layout>
      <pieChart>
        <varyColors val="1"/>
        <ser>
          <idx val="0"/>
          <order val="0"/>
          <tx>
            <strRef>
              <f>'2-1. 요약결과(그래프)'!C27</f>
            </strRef>
          </tx>
          <spPr>
            <a:ln>
              <a:prstDash val="solid"/>
            </a:ln>
          </spPr>
          <cat>
            <numRef>
              <f>'2-1. 요약결과(그래프)'!$B$28:$B$30</f>
            </numRef>
          </cat>
          <val>
            <numRef>
              <f>'2-1. 요약결과(그래프)'!$C$28:$C$30</f>
            </numRef>
          </val>
        </ser>
        <firstSliceAng val="0"/>
      </pieChart>
    </plotArea>
    <legend>
      <legendPos val="b"/>
    </legend>
    <plotVisOnly val="1"/>
    <dispBlanksAs val="gap"/>
  </chart>
</chartSpace>
</file>

<file path=xl/charts/chart3.xml><?xml version="1.0" encoding="utf-8"?>
<chartSpace xmlns:a="http://schemas.openxmlformats.org/drawingml/2006/main" xmlns="http://schemas.openxmlformats.org/drawingml/2006/chart">
  <chart>
    <plotArea>
      <barChart>
        <barDir val="col"/>
        <grouping val="clustered"/>
        <varyColors val="1"/>
        <ser>
          <idx val="0"/>
          <order val="0"/>
          <tx>
            <strRef>
              <f>'2-1. 요약결과(그래프)'!C50</f>
            </strRef>
          </tx>
          <spPr>
            <a:ln>
              <a:prstDash val="solid"/>
            </a:ln>
          </spPr>
          <cat>
            <numRef>
              <f>'2-1. 요약결과(그래프)'!$B$51:$B$55</f>
            </numRef>
          </cat>
          <val>
            <numRef>
              <f>'2-1. 요약결과(그래프)'!$C$51:$C$55</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5</col>
      <colOff>0</colOff>
      <row>3</row>
      <rowOff>0</rowOff>
    </from>
    <to>
      <col>11</col>
      <colOff>0</colOff>
      <row>22</row>
      <rowOff>0</rowOff>
    </to>
    <graphicFrame>
      <nvGraphicFramePr>
        <cNvPr id="1" name="Chart 1"/>
        <cNvGraphicFramePr/>
      </nvGraphicFramePr>
      <xfrm/>
      <a:graphic>
        <a:graphicData uri="http://schemas.openxmlformats.org/drawingml/2006/chart">
          <c:chart r:id="rId1"/>
        </a:graphicData>
      </a:graphic>
    </graphicFrame>
    <clientData/>
  </twoCellAnchor>
  <twoCellAnchor editAs="oneCell">
    <from>
      <col>5</col>
      <colOff>0</colOff>
      <row>26</row>
      <rowOff>0</rowOff>
    </from>
    <to>
      <col>11</col>
      <colOff>0</colOff>
      <row>45</row>
      <rowOff>0</rowOff>
    </to>
    <graphicFrame>
      <nvGraphicFramePr>
        <cNvPr id="2" name="Chart 2"/>
        <cNvGraphicFramePr/>
      </nvGraphicFramePr>
      <xfrm/>
      <a:graphic>
        <a:graphicData uri="http://schemas.openxmlformats.org/drawingml/2006/chart">
          <c:chart r:id="rId2"/>
        </a:graphicData>
      </a:graphic>
    </graphicFrame>
    <clientData/>
  </twoCellAnchor>
  <twoCellAnchor editAs="oneCell">
    <from>
      <col>5</col>
      <colOff>0</colOff>
      <row>49</row>
      <rowOff>0</rowOff>
    </from>
    <to>
      <col>11</col>
      <colOff>0</colOff>
      <row>68</row>
      <rowOff>0</rowOff>
    </to>
    <graphicFrame>
      <nvGraphicFramePr>
        <cNvPr id="3" name="Chart 3"/>
        <cNvGraphicFramePr/>
      </nvGraphicFramePr>
      <xfrm/>
      <a:graphic>
        <a:graphicData uri="http://schemas.openxmlformats.org/drawingml/2006/chart">
          <c:chart r:id="rId3"/>
        </a:graphicData>
      </a:graphic>
    </graphicFrame>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3:L18"/>
  <sheetViews>
    <sheetView showGridLines="0" workbookViewId="0">
      <selection activeCell="A1" sqref="A1"/>
    </sheetView>
  </sheetViews>
  <sheetFormatPr baseColWidth="8" defaultRowHeight="15"/>
  <cols>
    <col width="2"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13" customWidth="1" min="11" max="11"/>
    <col width="30" customWidth="1" min="12" max="12"/>
  </cols>
  <sheetData>
    <row r="3" ht="22" customHeight="1">
      <c r="K3" s="1" t="inlineStr">
        <is>
          <t>문서번호</t>
        </is>
      </c>
      <c r="L3" s="2" t="inlineStr">
        <is>
          <t>CHECKBANG-VA-2026-001</t>
        </is>
      </c>
    </row>
    <row r="4" ht="22" customHeight="1">
      <c r="K4" s="1" t="inlineStr">
        <is>
          <t>작성자</t>
        </is>
      </c>
      <c r="L4" s="2" t="inlineStr">
        <is>
          <t>취약점진단팀</t>
        </is>
      </c>
    </row>
    <row r="5" ht="22" customHeight="1">
      <c r="K5" s="1" t="inlineStr">
        <is>
          <t>보안등급</t>
        </is>
      </c>
      <c r="L5" s="2" t="inlineStr">
        <is>
          <t>Confidential</t>
        </is>
      </c>
    </row>
    <row r="6" ht="22" customHeight="1">
      <c r="K6" s="1" t="inlineStr">
        <is>
          <t>Ver</t>
        </is>
      </c>
      <c r="L6" s="2" t="inlineStr">
        <is>
          <t>ver 1.0</t>
        </is>
      </c>
    </row>
    <row r="11" ht="40" customHeight="1">
      <c r="B11" s="3" t="inlineStr">
        <is>
          <t>Check방 취약점 진단</t>
        </is>
      </c>
    </row>
    <row r="13" ht="30" customHeight="1">
      <c r="B13" s="4" t="inlineStr">
        <is>
          <t>취약점 진단 상세결과</t>
        </is>
      </c>
    </row>
    <row r="18">
      <c r="B18" s="5" t="inlineStr">
        <is>
          <t>2026-06-29</t>
        </is>
      </c>
    </row>
  </sheetData>
  <mergeCells count="3">
    <mergeCell ref="B13:L13"/>
    <mergeCell ref="B11:L11"/>
    <mergeCell ref="B18:L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
  <sheetViews>
    <sheetView showGridLines="0" workbookViewId="0">
      <selection activeCell="A1" sqref="A1"/>
    </sheetView>
  </sheetViews>
  <sheetFormatPr baseColWidth="8" defaultRowHeight="15"/>
  <cols>
    <col width="2" customWidth="1" min="1" max="1"/>
    <col width="23" customWidth="1" min="2" max="2"/>
    <col width="17" customWidth="1" min="3" max="3"/>
    <col width="14" customWidth="1" min="4" max="4"/>
    <col width="32" customWidth="1" min="5" max="5"/>
    <col width="6" customWidth="1" min="6" max="6"/>
    <col width="16" customWidth="1" min="7" max="7"/>
  </cols>
  <sheetData>
    <row r="1" ht="26" customHeight="1">
      <c r="B1" s="6" t="inlineStr">
        <is>
          <t xml:space="preserve">  ※ 진단 대상 리스트</t>
        </is>
      </c>
    </row>
    <row r="2">
      <c r="B2" s="7" t="inlineStr">
        <is>
          <t>순번</t>
        </is>
      </c>
      <c r="C2" s="7" t="inlineStr">
        <is>
          <t>진단 대상</t>
        </is>
      </c>
      <c r="D2" s="8" t="n"/>
      <c r="E2" s="8" t="n"/>
      <c r="F2" s="8" t="n"/>
      <c r="G2" s="7" t="inlineStr">
        <is>
          <t>비고</t>
        </is>
      </c>
    </row>
    <row r="3">
      <c r="B3" s="8" t="n"/>
      <c r="C3" s="7" t="inlineStr">
        <is>
          <t>Hostname</t>
        </is>
      </c>
      <c r="D3" s="7" t="inlineStr">
        <is>
          <t>IP Address</t>
        </is>
      </c>
      <c r="E3" s="7" t="inlineStr">
        <is>
          <t>버전정보</t>
        </is>
      </c>
      <c r="F3" s="7" t="inlineStr">
        <is>
          <t>용도</t>
        </is>
      </c>
      <c r="G3" s="8" t="n"/>
    </row>
    <row r="4" ht="24" customHeight="1">
      <c r="B4" s="9" t="n">
        <v>1</v>
      </c>
      <c r="C4" s="9" t="inlineStr">
        <is>
          <t>EC2AMAZ-305SBHT</t>
        </is>
      </c>
      <c r="D4" s="9" t="inlineStr">
        <is>
          <t>10.0.152.148</t>
        </is>
      </c>
      <c r="E4" s="9" t="inlineStr">
        <is>
          <t>Windows Server 2019 Datacenter</t>
        </is>
      </c>
      <c r="F4" s="9" t="inlineStr"/>
      <c r="G4" s="9" t="inlineStr">
        <is>
          <t>-</t>
        </is>
      </c>
    </row>
  </sheetData>
  <mergeCells count="3">
    <mergeCell ref="C2:F2"/>
    <mergeCell ref="G2:G3"/>
    <mergeCell ref="B2:B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K55"/>
  <sheetViews>
    <sheetView showGridLines="0" workbookViewId="0">
      <selection activeCell="A1" sqref="A1"/>
    </sheetView>
  </sheetViews>
  <sheetFormatPr baseColWidth="8" defaultRowHeight="15"/>
  <cols>
    <col width="2" customWidth="1" min="1" max="1"/>
    <col width="16" customWidth="1" min="2" max="2"/>
    <col width="11" customWidth="1" min="3" max="3"/>
  </cols>
  <sheetData>
    <row r="2" ht="22" customHeight="1">
      <c r="F2" s="10" t="inlineStr">
        <is>
          <t>항목별 양호 비율</t>
        </is>
      </c>
      <c r="G2" s="11" t="n"/>
      <c r="H2" s="11" t="n"/>
      <c r="I2" s="11" t="n"/>
      <c r="J2" s="11" t="n"/>
      <c r="K2" s="11" t="n"/>
    </row>
    <row r="4">
      <c r="B4" s="7" t="inlineStr">
        <is>
          <t>진단 도메인</t>
        </is>
      </c>
      <c r="C4" s="7" t="inlineStr">
        <is>
          <t>평균 점수</t>
        </is>
      </c>
    </row>
    <row r="5">
      <c r="B5" s="9" t="inlineStr">
        <is>
          <t>계정 관리</t>
        </is>
      </c>
      <c r="C5" s="12">
        <f>'2-2. 요약 진단결과'!H6</f>
        <v/>
      </c>
    </row>
    <row r="6">
      <c r="B6" s="9" t="inlineStr">
        <is>
          <t>서비스 관리</t>
        </is>
      </c>
      <c r="C6" s="12">
        <f>'2-2. 요약 진단결과'!H20</f>
        <v/>
      </c>
    </row>
    <row r="7">
      <c r="B7" s="9" t="inlineStr">
        <is>
          <t>패치 관리</t>
        </is>
      </c>
      <c r="C7" s="12">
        <f>'2-2. 요약 진단결과'!H43</f>
        <v/>
      </c>
    </row>
    <row r="8">
      <c r="B8" s="9" t="inlineStr">
        <is>
          <t>로그 관리</t>
        </is>
      </c>
      <c r="C8" s="12">
        <f>'2-2. 요약 진단결과'!H45</f>
        <v/>
      </c>
    </row>
    <row r="9">
      <c r="B9" s="9" t="inlineStr">
        <is>
          <t>보안 관리</t>
        </is>
      </c>
      <c r="C9" s="12">
        <f>'2-2. 요약 진단결과'!H49</f>
        <v/>
      </c>
    </row>
    <row r="25" ht="22" customHeight="1">
      <c r="F25" s="10" t="inlineStr">
        <is>
          <t>양호 / 취약 / N/A 비율</t>
        </is>
      </c>
      <c r="G25" s="11" t="n"/>
      <c r="H25" s="11" t="n"/>
      <c r="I25" s="11" t="n"/>
      <c r="J25" s="11" t="n"/>
      <c r="K25" s="11" t="n"/>
    </row>
    <row r="27">
      <c r="B27" s="7" t="inlineStr">
        <is>
          <t>상태</t>
        </is>
      </c>
      <c r="C27" s="7" t="inlineStr">
        <is>
          <t>개수</t>
        </is>
      </c>
    </row>
    <row r="28">
      <c r="B28" s="9" t="inlineStr">
        <is>
          <t>양호</t>
        </is>
      </c>
      <c r="C28" s="9">
        <f>SUM('2-2. 요약 진단결과'!J6:J69)</f>
        <v/>
      </c>
    </row>
    <row r="29">
      <c r="B29" s="9" t="inlineStr">
        <is>
          <t>취약</t>
        </is>
      </c>
      <c r="C29" s="9">
        <f>SUM('2-2. 요약 진단결과'!K6:K69)</f>
        <v/>
      </c>
    </row>
    <row r="30">
      <c r="B30" s="9" t="inlineStr">
        <is>
          <t>N/A</t>
        </is>
      </c>
      <c r="C30" s="9">
        <f>SUM('2-2. 요약 진단결과'!L6:L69)</f>
        <v/>
      </c>
    </row>
    <row r="48" ht="22" customHeight="1">
      <c r="F48" s="10" t="inlineStr">
        <is>
          <t>영역별 취약 수</t>
        </is>
      </c>
      <c r="G48" s="11" t="n"/>
      <c r="H48" s="11" t="n"/>
      <c r="I48" s="11" t="n"/>
      <c r="J48" s="11" t="n"/>
      <c r="K48" s="11" t="n"/>
    </row>
    <row r="50">
      <c r="B50" s="7" t="inlineStr">
        <is>
          <t>영역</t>
        </is>
      </c>
      <c r="C50" s="7" t="inlineStr">
        <is>
          <t>취약 수</t>
        </is>
      </c>
    </row>
    <row r="51">
      <c r="B51" s="9" t="inlineStr">
        <is>
          <t>계정 관리</t>
        </is>
      </c>
      <c r="C51" s="9">
        <f>SUM('2-2. 요약 진단결과'!K6:K19)</f>
        <v/>
      </c>
    </row>
    <row r="52">
      <c r="B52" s="9" t="inlineStr">
        <is>
          <t>서비스 관리</t>
        </is>
      </c>
      <c r="C52" s="9">
        <f>SUM('2-2. 요약 진단결과'!K20:K42)</f>
        <v/>
      </c>
    </row>
    <row r="53">
      <c r="B53" s="9" t="inlineStr">
        <is>
          <t>패치 관리</t>
        </is>
      </c>
      <c r="C53" s="9">
        <f>SUM('2-2. 요약 진단결과'!K43:K44)</f>
        <v/>
      </c>
    </row>
    <row r="54">
      <c r="B54" s="9" t="inlineStr">
        <is>
          <t>로그 관리</t>
        </is>
      </c>
      <c r="C54" s="9">
        <f>SUM('2-2. 요약 진단결과'!K45:K48)</f>
        <v/>
      </c>
    </row>
    <row r="55">
      <c r="B55" s="9" t="inlineStr">
        <is>
          <t>보안 관리</t>
        </is>
      </c>
      <c r="C55" s="9">
        <f>SUM('2-2. 요약 진단결과'!K49:K69)</f>
        <v/>
      </c>
    </row>
  </sheetData>
  <mergeCells count="3">
    <mergeCell ref="F2:K2"/>
    <mergeCell ref="F25:K25"/>
    <mergeCell ref="F48:K48"/>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L71"/>
  <sheetViews>
    <sheetView showGridLines="0" workbookViewId="0">
      <pane ySplit="5" topLeftCell="A6" activePane="bottomLeft" state="frozen"/>
      <selection pane="bottomLeft" activeCell="A1" sqref="A1"/>
    </sheetView>
  </sheetViews>
  <sheetFormatPr baseColWidth="8" defaultRowHeight="15"/>
  <cols>
    <col width="2" customWidth="1" min="1" max="1"/>
    <col width="15" customWidth="1" min="2" max="2"/>
    <col width="6" customWidth="1" min="3" max="3"/>
    <col width="52" customWidth="1" min="4" max="4"/>
    <col width="10" customWidth="1" min="5" max="5"/>
    <col width="16" customWidth="1" min="6" max="6"/>
    <col width="2.5" customWidth="1" min="7" max="7"/>
    <col width="12" customWidth="1" min="8" max="8"/>
    <col width="8" customWidth="1" min="9" max="9"/>
    <col width="8" customWidth="1" min="10" max="10"/>
    <col width="8" customWidth="1" min="11" max="11"/>
    <col width="8" customWidth="1" min="12" max="12"/>
  </cols>
  <sheetData>
    <row r="1"/>
    <row r="2" ht="28" customHeight="1">
      <c r="B2" s="13" t="inlineStr">
        <is>
          <t>Check방 취약점 진단 요약 진단결과 (64항목)</t>
        </is>
      </c>
    </row>
    <row r="3">
      <c r="B3" s="7" t="inlineStr">
        <is>
          <t>진단항목</t>
        </is>
      </c>
      <c r="C3" s="7" t="inlineStr">
        <is>
          <t>No.</t>
        </is>
      </c>
      <c r="D3" s="7" t="inlineStr">
        <is>
          <t>세부 진단항목</t>
        </is>
      </c>
      <c r="E3" s="7" t="inlineStr">
        <is>
          <t>중요도</t>
        </is>
      </c>
      <c r="F3" s="7" t="inlineStr">
        <is>
          <t>진단결과</t>
        </is>
      </c>
    </row>
    <row r="4">
      <c r="B4" s="8" t="n"/>
      <c r="C4" s="8" t="n"/>
      <c r="D4" s="8" t="n"/>
      <c r="E4" s="8" t="n"/>
      <c r="F4" s="7" t="inlineStr">
        <is>
          <t>Windows Server</t>
        </is>
      </c>
    </row>
    <row r="5">
      <c r="B5" s="8" t="n"/>
      <c r="C5" s="8" t="n"/>
      <c r="D5" s="8" t="n"/>
      <c r="E5" s="8" t="n"/>
      <c r="F5" s="7" t="inlineStr">
        <is>
          <t>10.0.152.148</t>
        </is>
      </c>
      <c r="H5" s="7" t="inlineStr">
        <is>
          <t>영역별점수</t>
        </is>
      </c>
      <c r="I5" s="7" t="inlineStr">
        <is>
          <t>점수</t>
        </is>
      </c>
      <c r="J5" s="7" t="inlineStr">
        <is>
          <t>양호</t>
        </is>
      </c>
      <c r="K5" s="7" t="inlineStr">
        <is>
          <t>취약</t>
        </is>
      </c>
      <c r="L5" s="7" t="inlineStr">
        <is>
          <t>N/A</t>
        </is>
      </c>
    </row>
    <row r="6">
      <c r="B6" s="9" t="inlineStr">
        <is>
          <t>계정 관리</t>
        </is>
      </c>
      <c r="C6" s="9" t="inlineStr">
        <is>
          <t>W-01</t>
        </is>
      </c>
      <c r="D6" s="2" t="inlineStr">
        <is>
          <t>Administrator 계정 이름 변경 등 보안성 강화</t>
        </is>
      </c>
      <c r="E6" s="9" t="inlineStr">
        <is>
          <t>상</t>
        </is>
      </c>
      <c r="F6" s="14" t="inlineStr">
        <is>
          <t>양호</t>
        </is>
      </c>
      <c r="H6" s="12">
        <f>IF(COUNTIF(I6:I19,"N/A")=COUNTA(I6:I19),"N/A",AVERAGE(I6:I19))</f>
        <v/>
      </c>
      <c r="I6" s="12">
        <f>IF(COUNTIF($F6:$F6,"N/A")=COUNTA($F6:$F6),"N/A",$J6/(COUNTA($F6:$F6)-$L6))</f>
        <v/>
      </c>
      <c r="J6" s="9">
        <f>COUNTIF($F6:$F6,"양호")</f>
        <v/>
      </c>
      <c r="K6" s="9">
        <f>COUNTIF($F6:$F6,"취약")</f>
        <v/>
      </c>
      <c r="L6" s="9">
        <f>COUNTIF($F6:$F6,"N/A")</f>
        <v/>
      </c>
    </row>
    <row r="7">
      <c r="B7" s="15" t="n"/>
      <c r="C7" s="9" t="inlineStr">
        <is>
          <t>W-02</t>
        </is>
      </c>
      <c r="D7" s="2" t="inlineStr">
        <is>
          <t>Guest 계정 비활성화</t>
        </is>
      </c>
      <c r="E7" s="9" t="inlineStr">
        <is>
          <t>상</t>
        </is>
      </c>
      <c r="F7" s="14" t="inlineStr">
        <is>
          <t>양호</t>
        </is>
      </c>
      <c r="H7" s="15" t="n"/>
      <c r="I7" s="12">
        <f>IF(COUNTIF($F7:$F7,"N/A")=COUNTA($F7:$F7),"N/A",$J7/(COUNTA($F7:$F7)-$L7))</f>
        <v/>
      </c>
      <c r="J7" s="9">
        <f>COUNTIF($F7:$F7,"양호")</f>
        <v/>
      </c>
      <c r="K7" s="9">
        <f>COUNTIF($F7:$F7,"취약")</f>
        <v/>
      </c>
      <c r="L7" s="9">
        <f>COUNTIF($F7:$F7,"N/A")</f>
        <v/>
      </c>
    </row>
    <row r="8">
      <c r="B8" s="15" t="n"/>
      <c r="C8" s="9" t="inlineStr">
        <is>
          <t>W-03</t>
        </is>
      </c>
      <c r="D8" s="2" t="inlineStr">
        <is>
          <t>불필요한 계정 제거</t>
        </is>
      </c>
      <c r="E8" s="9" t="inlineStr">
        <is>
          <t>상</t>
        </is>
      </c>
      <c r="F8" s="16" t="inlineStr">
        <is>
          <t>N/A</t>
        </is>
      </c>
      <c r="H8" s="15" t="n"/>
      <c r="I8" s="12">
        <f>IF(COUNTIF($F8:$F8,"N/A")=COUNTA($F8:$F8),"N/A",$J8/(COUNTA($F8:$F8)-$L8))</f>
        <v/>
      </c>
      <c r="J8" s="9">
        <f>COUNTIF($F8:$F8,"양호")</f>
        <v/>
      </c>
      <c r="K8" s="9">
        <f>COUNTIF($F8:$F8,"취약")</f>
        <v/>
      </c>
      <c r="L8" s="9">
        <f>COUNTIF($F8:$F8,"N/A")</f>
        <v/>
      </c>
    </row>
    <row r="9">
      <c r="B9" s="15" t="n"/>
      <c r="C9" s="9" t="inlineStr">
        <is>
          <t>W-04</t>
        </is>
      </c>
      <c r="D9" s="2" t="inlineStr">
        <is>
          <t>계정 잠금 임계값 설정</t>
        </is>
      </c>
      <c r="E9" s="9" t="inlineStr">
        <is>
          <t>상</t>
        </is>
      </c>
      <c r="F9" s="14" t="inlineStr">
        <is>
          <t>양호</t>
        </is>
      </c>
      <c r="H9" s="15" t="n"/>
      <c r="I9" s="12">
        <f>IF(COUNTIF($F9:$F9,"N/A")=COUNTA($F9:$F9),"N/A",$J9/(COUNTA($F9:$F9)-$L9))</f>
        <v/>
      </c>
      <c r="J9" s="9">
        <f>COUNTIF($F9:$F9,"양호")</f>
        <v/>
      </c>
      <c r="K9" s="9">
        <f>COUNTIF($F9:$F9,"취약")</f>
        <v/>
      </c>
      <c r="L9" s="9">
        <f>COUNTIF($F9:$F9,"N/A")</f>
        <v/>
      </c>
    </row>
    <row r="10">
      <c r="B10" s="15" t="n"/>
      <c r="C10" s="9" t="inlineStr">
        <is>
          <t>W-05</t>
        </is>
      </c>
      <c r="D10" s="2" t="inlineStr">
        <is>
          <t>해독 가능한 암호화를 사용하여 암호 저장 해제</t>
        </is>
      </c>
      <c r="E10" s="9" t="inlineStr">
        <is>
          <t>상</t>
        </is>
      </c>
      <c r="F10" s="14" t="inlineStr">
        <is>
          <t>양호</t>
        </is>
      </c>
      <c r="H10" s="15" t="n"/>
      <c r="I10" s="12">
        <f>IF(COUNTIF($F10:$F10,"N/A")=COUNTA($F10:$F10),"N/A",$J10/(COUNTA($F10:$F10)-$L10))</f>
        <v/>
      </c>
      <c r="J10" s="9">
        <f>COUNTIF($F10:$F10,"양호")</f>
        <v/>
      </c>
      <c r="K10" s="9">
        <f>COUNTIF($F10:$F10,"취약")</f>
        <v/>
      </c>
      <c r="L10" s="9">
        <f>COUNTIF($F10:$F10,"N/A")</f>
        <v/>
      </c>
    </row>
    <row r="11">
      <c r="B11" s="15" t="n"/>
      <c r="C11" s="9" t="inlineStr">
        <is>
          <t>W-06</t>
        </is>
      </c>
      <c r="D11" s="2" t="inlineStr">
        <is>
          <t>관리자(Administrators) 그룹에 최소한의 사용자 포함</t>
        </is>
      </c>
      <c r="E11" s="9" t="inlineStr">
        <is>
          <t>상</t>
        </is>
      </c>
      <c r="F11" s="14" t="inlineStr">
        <is>
          <t>양호</t>
        </is>
      </c>
      <c r="H11" s="15" t="n"/>
      <c r="I11" s="12">
        <f>IF(COUNTIF($F11:$F11,"N/A")=COUNTA($F11:$F11),"N/A",$J11/(COUNTA($F11:$F11)-$L11))</f>
        <v/>
      </c>
      <c r="J11" s="9">
        <f>COUNTIF($F11:$F11,"양호")</f>
        <v/>
      </c>
      <c r="K11" s="9">
        <f>COUNTIF($F11:$F11,"취약")</f>
        <v/>
      </c>
      <c r="L11" s="9">
        <f>COUNTIF($F11:$F11,"N/A")</f>
        <v/>
      </c>
    </row>
    <row r="12">
      <c r="B12" s="15" t="n"/>
      <c r="C12" s="9" t="inlineStr">
        <is>
          <t>W-07</t>
        </is>
      </c>
      <c r="D12" s="2" t="inlineStr">
        <is>
          <t>Everyone 사용 권한을 익명 사용자에게 적용 해제</t>
        </is>
      </c>
      <c r="E12" s="9" t="inlineStr">
        <is>
          <t>상</t>
        </is>
      </c>
      <c r="F12" s="14" t="inlineStr">
        <is>
          <t>양호</t>
        </is>
      </c>
      <c r="H12" s="15" t="n"/>
      <c r="I12" s="12">
        <f>IF(COUNTIF($F12:$F12,"N/A")=COUNTA($F12:$F12),"N/A",$J12/(COUNTA($F12:$F12)-$L12))</f>
        <v/>
      </c>
      <c r="J12" s="9">
        <f>COUNTIF($F12:$F12,"양호")</f>
        <v/>
      </c>
      <c r="K12" s="9">
        <f>COUNTIF($F12:$F12,"취약")</f>
        <v/>
      </c>
      <c r="L12" s="9">
        <f>COUNTIF($F12:$F12,"N/A")</f>
        <v/>
      </c>
    </row>
    <row r="13">
      <c r="B13" s="15" t="n"/>
      <c r="C13" s="9" t="inlineStr">
        <is>
          <t>W-08</t>
        </is>
      </c>
      <c r="D13" s="2" t="inlineStr">
        <is>
          <t>계정 잠금 기간 설정</t>
        </is>
      </c>
      <c r="E13" s="9" t="inlineStr">
        <is>
          <t>중</t>
        </is>
      </c>
      <c r="F13" s="14" t="inlineStr">
        <is>
          <t>양호</t>
        </is>
      </c>
      <c r="H13" s="15" t="n"/>
      <c r="I13" s="12">
        <f>IF(COUNTIF($F13:$F13,"N/A")=COUNTA($F13:$F13),"N/A",$J13/(COUNTA($F13:$F13)-$L13))</f>
        <v/>
      </c>
      <c r="J13" s="9">
        <f>COUNTIF($F13:$F13,"양호")</f>
        <v/>
      </c>
      <c r="K13" s="9">
        <f>COUNTIF($F13:$F13,"취약")</f>
        <v/>
      </c>
      <c r="L13" s="9">
        <f>COUNTIF($F13:$F13,"N/A")</f>
        <v/>
      </c>
    </row>
    <row r="14">
      <c r="B14" s="15" t="n"/>
      <c r="C14" s="9" t="inlineStr">
        <is>
          <t>W-09</t>
        </is>
      </c>
      <c r="D14" s="2" t="inlineStr">
        <is>
          <t>비밀번호 관리정책 설정</t>
        </is>
      </c>
      <c r="E14" s="9" t="inlineStr">
        <is>
          <t>상</t>
        </is>
      </c>
      <c r="F14" s="14" t="inlineStr">
        <is>
          <t>양호</t>
        </is>
      </c>
      <c r="H14" s="15" t="n"/>
      <c r="I14" s="12">
        <f>IF(COUNTIF($F14:$F14,"N/A")=COUNTA($F14:$F14),"N/A",$J14/(COUNTA($F14:$F14)-$L14))</f>
        <v/>
      </c>
      <c r="J14" s="9">
        <f>COUNTIF($F14:$F14,"양호")</f>
        <v/>
      </c>
      <c r="K14" s="9">
        <f>COUNTIF($F14:$F14,"취약")</f>
        <v/>
      </c>
      <c r="L14" s="9">
        <f>COUNTIF($F14:$F14,"N/A")</f>
        <v/>
      </c>
    </row>
    <row r="15">
      <c r="B15" s="15" t="n"/>
      <c r="C15" s="9" t="inlineStr">
        <is>
          <t>W-10</t>
        </is>
      </c>
      <c r="D15" s="2" t="inlineStr">
        <is>
          <t>마지막 사용자 이름 표시 안 함</t>
        </is>
      </c>
      <c r="E15" s="9" t="inlineStr">
        <is>
          <t>중</t>
        </is>
      </c>
      <c r="F15" s="14" t="inlineStr">
        <is>
          <t>양호</t>
        </is>
      </c>
      <c r="H15" s="15" t="n"/>
      <c r="I15" s="12">
        <f>IF(COUNTIF($F15:$F15,"N/A")=COUNTA($F15:$F15),"N/A",$J15/(COUNTA($F15:$F15)-$L15))</f>
        <v/>
      </c>
      <c r="J15" s="9">
        <f>COUNTIF($F15:$F15,"양호")</f>
        <v/>
      </c>
      <c r="K15" s="9">
        <f>COUNTIF($F15:$F15,"취약")</f>
        <v/>
      </c>
      <c r="L15" s="9">
        <f>COUNTIF($F15:$F15,"N/A")</f>
        <v/>
      </c>
    </row>
    <row r="16">
      <c r="B16" s="15" t="n"/>
      <c r="C16" s="9" t="inlineStr">
        <is>
          <t>W-11</t>
        </is>
      </c>
      <c r="D16" s="2" t="inlineStr">
        <is>
          <t>로컬 로그온 허용 제한</t>
        </is>
      </c>
      <c r="E16" s="9" t="inlineStr">
        <is>
          <t>중</t>
        </is>
      </c>
      <c r="F16" s="14" t="inlineStr">
        <is>
          <t>양호</t>
        </is>
      </c>
      <c r="H16" s="15" t="n"/>
      <c r="I16" s="12">
        <f>IF(COUNTIF($F16:$F16,"N/A")=COUNTA($F16:$F16),"N/A",$J16/(COUNTA($F16:$F16)-$L16))</f>
        <v/>
      </c>
      <c r="J16" s="9">
        <f>COUNTIF($F16:$F16,"양호")</f>
        <v/>
      </c>
      <c r="K16" s="9">
        <f>COUNTIF($F16:$F16,"취약")</f>
        <v/>
      </c>
      <c r="L16" s="9">
        <f>COUNTIF($F16:$F16,"N/A")</f>
        <v/>
      </c>
    </row>
    <row r="17">
      <c r="B17" s="15" t="n"/>
      <c r="C17" s="9" t="inlineStr">
        <is>
          <t>W-12</t>
        </is>
      </c>
      <c r="D17" s="2" t="inlineStr">
        <is>
          <t>익명 SID/이름 변환 허용 해제</t>
        </is>
      </c>
      <c r="E17" s="9" t="inlineStr">
        <is>
          <t>중</t>
        </is>
      </c>
      <c r="F17" s="14" t="inlineStr">
        <is>
          <t>양호</t>
        </is>
      </c>
      <c r="H17" s="15" t="n"/>
      <c r="I17" s="12">
        <f>IF(COUNTIF($F17:$F17,"N/A")=COUNTA($F17:$F17),"N/A",$J17/(COUNTA($F17:$F17)-$L17))</f>
        <v/>
      </c>
      <c r="J17" s="9">
        <f>COUNTIF($F17:$F17,"양호")</f>
        <v/>
      </c>
      <c r="K17" s="9">
        <f>COUNTIF($F17:$F17,"취약")</f>
        <v/>
      </c>
      <c r="L17" s="9">
        <f>COUNTIF($F17:$F17,"N/A")</f>
        <v/>
      </c>
    </row>
    <row r="18">
      <c r="B18" s="15" t="n"/>
      <c r="C18" s="9" t="inlineStr">
        <is>
          <t>W-13</t>
        </is>
      </c>
      <c r="D18" s="2" t="inlineStr">
        <is>
          <t>콘솔 로그온 시 로컬 계정 빈 암호 사용 제한</t>
        </is>
      </c>
      <c r="E18" s="9" t="inlineStr">
        <is>
          <t>상</t>
        </is>
      </c>
      <c r="F18" s="14" t="inlineStr">
        <is>
          <t>양호</t>
        </is>
      </c>
      <c r="H18" s="15" t="n"/>
      <c r="I18" s="12">
        <f>IF(COUNTIF($F18:$F18,"N/A")=COUNTA($F18:$F18),"N/A",$J18/(COUNTA($F18:$F18)-$L18))</f>
        <v/>
      </c>
      <c r="J18" s="9">
        <f>COUNTIF($F18:$F18,"양호")</f>
        <v/>
      </c>
      <c r="K18" s="9">
        <f>COUNTIF($F18:$F18,"취약")</f>
        <v/>
      </c>
      <c r="L18" s="9">
        <f>COUNTIF($F18:$F18,"N/A")</f>
        <v/>
      </c>
    </row>
    <row r="19">
      <c r="B19" s="15" t="n"/>
      <c r="C19" s="9" t="inlineStr">
        <is>
          <t>W-14</t>
        </is>
      </c>
      <c r="D19" s="2" t="inlineStr">
        <is>
          <t>원격터미널 접속 가능 사용자 그룹 제한</t>
        </is>
      </c>
      <c r="E19" s="9" t="inlineStr">
        <is>
          <t>중</t>
        </is>
      </c>
      <c r="F19" s="14" t="inlineStr">
        <is>
          <t>양호</t>
        </is>
      </c>
      <c r="H19" s="15" t="n"/>
      <c r="I19" s="12">
        <f>IF(COUNTIF($F19:$F19,"N/A")=COUNTA($F19:$F19),"N/A",$J19/(COUNTA($F19:$F19)-$L19))</f>
        <v/>
      </c>
      <c r="J19" s="9">
        <f>COUNTIF($F19:$F19,"양호")</f>
        <v/>
      </c>
      <c r="K19" s="9">
        <f>COUNTIF($F19:$F19,"취약")</f>
        <v/>
      </c>
      <c r="L19" s="9">
        <f>COUNTIF($F19:$F19,"N/A")</f>
        <v/>
      </c>
    </row>
    <row r="20">
      <c r="B20" s="9" t="inlineStr">
        <is>
          <t>서비스 관리</t>
        </is>
      </c>
      <c r="C20" s="9" t="inlineStr">
        <is>
          <t>W-15</t>
        </is>
      </c>
      <c r="D20" s="2" t="inlineStr">
        <is>
          <t>사용자 개인키 사용 시 암호 입력</t>
        </is>
      </c>
      <c r="E20" s="9" t="inlineStr">
        <is>
          <t>상</t>
        </is>
      </c>
      <c r="F20" s="14" t="inlineStr">
        <is>
          <t>양호</t>
        </is>
      </c>
      <c r="H20" s="12">
        <f>IF(COUNTIF(I20:I42,"N/A")=COUNTA(I20:I42),"N/A",AVERAGE(I20:I42))</f>
        <v/>
      </c>
      <c r="I20" s="12">
        <f>IF(COUNTIF($F20:$F20,"N/A")=COUNTA($F20:$F20),"N/A",$J20/(COUNTA($F20:$F20)-$L20))</f>
        <v/>
      </c>
      <c r="J20" s="9">
        <f>COUNTIF($F20:$F20,"양호")</f>
        <v/>
      </c>
      <c r="K20" s="9">
        <f>COUNTIF($F20:$F20,"취약")</f>
        <v/>
      </c>
      <c r="L20" s="9">
        <f>COUNTIF($F20:$F20,"N/A")</f>
        <v/>
      </c>
    </row>
    <row r="21">
      <c r="B21" s="15" t="n"/>
      <c r="C21" s="9" t="inlineStr">
        <is>
          <t>W-16</t>
        </is>
      </c>
      <c r="D21" s="2" t="inlineStr">
        <is>
          <t>공유 권한 및 사용자 그룹 설정</t>
        </is>
      </c>
      <c r="E21" s="9" t="inlineStr">
        <is>
          <t>상</t>
        </is>
      </c>
      <c r="F21" s="14" t="inlineStr">
        <is>
          <t>양호</t>
        </is>
      </c>
      <c r="H21" s="15" t="n"/>
      <c r="I21" s="12">
        <f>IF(COUNTIF($F21:$F21,"N/A")=COUNTA($F21:$F21),"N/A",$J21/(COUNTA($F21:$F21)-$L21))</f>
        <v/>
      </c>
      <c r="J21" s="9">
        <f>COUNTIF($F21:$F21,"양호")</f>
        <v/>
      </c>
      <c r="K21" s="9">
        <f>COUNTIF($F21:$F21,"취약")</f>
        <v/>
      </c>
      <c r="L21" s="9">
        <f>COUNTIF($F21:$F21,"N/A")</f>
        <v/>
      </c>
    </row>
    <row r="22">
      <c r="B22" s="15" t="n"/>
      <c r="C22" s="9" t="inlineStr">
        <is>
          <t>W-17</t>
        </is>
      </c>
      <c r="D22" s="2" t="inlineStr">
        <is>
          <t>하드디스크 기본 공유 제거</t>
        </is>
      </c>
      <c r="E22" s="9" t="inlineStr">
        <is>
          <t>상</t>
        </is>
      </c>
      <c r="F22" s="14" t="inlineStr">
        <is>
          <t>양호</t>
        </is>
      </c>
      <c r="H22" s="15" t="n"/>
      <c r="I22" s="12">
        <f>IF(COUNTIF($F22:$F22,"N/A")=COUNTA($F22:$F22),"N/A",$J22/(COUNTA($F22:$F22)-$L22))</f>
        <v/>
      </c>
      <c r="J22" s="9">
        <f>COUNTIF($F22:$F22,"양호")</f>
        <v/>
      </c>
      <c r="K22" s="9">
        <f>COUNTIF($F22:$F22,"취약")</f>
        <v/>
      </c>
      <c r="L22" s="9">
        <f>COUNTIF($F22:$F22,"N/A")</f>
        <v/>
      </c>
    </row>
    <row r="23">
      <c r="B23" s="15" t="n"/>
      <c r="C23" s="9" t="inlineStr">
        <is>
          <t>W-18</t>
        </is>
      </c>
      <c r="D23" s="2" t="inlineStr">
        <is>
          <t>불필요한 서비스 제거</t>
        </is>
      </c>
      <c r="E23" s="9" t="inlineStr">
        <is>
          <t>상</t>
        </is>
      </c>
      <c r="F23" s="14" t="inlineStr">
        <is>
          <t>양호</t>
        </is>
      </c>
      <c r="H23" s="15" t="n"/>
      <c r="I23" s="12">
        <f>IF(COUNTIF($F23:$F23,"N/A")=COUNTA($F23:$F23),"N/A",$J23/(COUNTA($F23:$F23)-$L23))</f>
        <v/>
      </c>
      <c r="J23" s="9">
        <f>COUNTIF($F23:$F23,"양호")</f>
        <v/>
      </c>
      <c r="K23" s="9">
        <f>COUNTIF($F23:$F23,"취약")</f>
        <v/>
      </c>
      <c r="L23" s="9">
        <f>COUNTIF($F23:$F23,"N/A")</f>
        <v/>
      </c>
    </row>
    <row r="24">
      <c r="B24" s="15" t="n"/>
      <c r="C24" s="9" t="inlineStr">
        <is>
          <t>W-19</t>
        </is>
      </c>
      <c r="D24" s="2" t="inlineStr">
        <is>
          <t>불필요한 IIS 서비스 구동 점검</t>
        </is>
      </c>
      <c r="E24" s="9" t="inlineStr">
        <is>
          <t>상</t>
        </is>
      </c>
      <c r="F24" s="14" t="inlineStr">
        <is>
          <t>양호</t>
        </is>
      </c>
      <c r="H24" s="15" t="n"/>
      <c r="I24" s="12">
        <f>IF(COUNTIF($F24:$F24,"N/A")=COUNTA($F24:$F24),"N/A",$J24/(COUNTA($F24:$F24)-$L24))</f>
        <v/>
      </c>
      <c r="J24" s="9">
        <f>COUNTIF($F24:$F24,"양호")</f>
        <v/>
      </c>
      <c r="K24" s="9">
        <f>COUNTIF($F24:$F24,"취약")</f>
        <v/>
      </c>
      <c r="L24" s="9">
        <f>COUNTIF($F24:$F24,"N/A")</f>
        <v/>
      </c>
    </row>
    <row r="25">
      <c r="B25" s="15" t="n"/>
      <c r="C25" s="9" t="inlineStr">
        <is>
          <t>W-20</t>
        </is>
      </c>
      <c r="D25" s="2" t="inlineStr">
        <is>
          <t>NetBIOS 바인딩 서비스 구동 점검</t>
        </is>
      </c>
      <c r="E25" s="9" t="inlineStr">
        <is>
          <t>상</t>
        </is>
      </c>
      <c r="F25" s="14" t="inlineStr">
        <is>
          <t>양호</t>
        </is>
      </c>
      <c r="H25" s="15" t="n"/>
      <c r="I25" s="12">
        <f>IF(COUNTIF($F25:$F25,"N/A")=COUNTA($F25:$F25),"N/A",$J25/(COUNTA($F25:$F25)-$L25))</f>
        <v/>
      </c>
      <c r="J25" s="9">
        <f>COUNTIF($F25:$F25,"양호")</f>
        <v/>
      </c>
      <c r="K25" s="9">
        <f>COUNTIF($F25:$F25,"취약")</f>
        <v/>
      </c>
      <c r="L25" s="9">
        <f>COUNTIF($F25:$F25,"N/A")</f>
        <v/>
      </c>
    </row>
    <row r="26">
      <c r="B26" s="15" t="n"/>
      <c r="C26" s="9" t="inlineStr">
        <is>
          <t>W-21</t>
        </is>
      </c>
      <c r="D26" s="2" t="inlineStr">
        <is>
          <t>암호화되지 않는 FTP 서비스 비활성화</t>
        </is>
      </c>
      <c r="E26" s="9" t="inlineStr">
        <is>
          <t>상</t>
        </is>
      </c>
      <c r="F26" s="14" t="inlineStr">
        <is>
          <t>양호</t>
        </is>
      </c>
      <c r="H26" s="15" t="n"/>
      <c r="I26" s="12">
        <f>IF(COUNTIF($F26:$F26,"N/A")=COUNTA($F26:$F26),"N/A",$J26/(COUNTA($F26:$F26)-$L26))</f>
        <v/>
      </c>
      <c r="J26" s="9">
        <f>COUNTIF($F26:$F26,"양호")</f>
        <v/>
      </c>
      <c r="K26" s="9">
        <f>COUNTIF($F26:$F26,"취약")</f>
        <v/>
      </c>
      <c r="L26" s="9">
        <f>COUNTIF($F26:$F26,"N/A")</f>
        <v/>
      </c>
    </row>
    <row r="27">
      <c r="B27" s="15" t="n"/>
      <c r="C27" s="9" t="inlineStr">
        <is>
          <t>W-22</t>
        </is>
      </c>
      <c r="D27" s="2" t="inlineStr">
        <is>
          <t>FTP 디렉터리 접근권한 설정</t>
        </is>
      </c>
      <c r="E27" s="9" t="inlineStr">
        <is>
          <t>상</t>
        </is>
      </c>
      <c r="F27" s="16" t="inlineStr">
        <is>
          <t>N/A</t>
        </is>
      </c>
      <c r="H27" s="15" t="n"/>
      <c r="I27" s="12">
        <f>IF(COUNTIF($F27:$F27,"N/A")=COUNTA($F27:$F27),"N/A",$J27/(COUNTA($F27:$F27)-$L27))</f>
        <v/>
      </c>
      <c r="J27" s="9">
        <f>COUNTIF($F27:$F27,"양호")</f>
        <v/>
      </c>
      <c r="K27" s="9">
        <f>COUNTIF($F27:$F27,"취약")</f>
        <v/>
      </c>
      <c r="L27" s="9">
        <f>COUNTIF($F27:$F27,"N/A")</f>
        <v/>
      </c>
    </row>
    <row r="28">
      <c r="B28" s="15" t="n"/>
      <c r="C28" s="9" t="inlineStr">
        <is>
          <t>W-23</t>
        </is>
      </c>
      <c r="D28" s="2" t="inlineStr">
        <is>
          <t>공유 서비스에 대한 익명 접근 제한 설정</t>
        </is>
      </c>
      <c r="E28" s="9" t="inlineStr">
        <is>
          <t>상</t>
        </is>
      </c>
      <c r="F28" s="14" t="inlineStr">
        <is>
          <t>양호</t>
        </is>
      </c>
      <c r="H28" s="15" t="n"/>
      <c r="I28" s="12">
        <f>IF(COUNTIF($F28:$F28,"N/A")=COUNTA($F28:$F28),"N/A",$J28/(COUNTA($F28:$F28)-$L28))</f>
        <v/>
      </c>
      <c r="J28" s="9">
        <f>COUNTIF($F28:$F28,"양호")</f>
        <v/>
      </c>
      <c r="K28" s="9">
        <f>COUNTIF($F28:$F28,"취약")</f>
        <v/>
      </c>
      <c r="L28" s="9">
        <f>COUNTIF($F28:$F28,"N/A")</f>
        <v/>
      </c>
    </row>
    <row r="29">
      <c r="B29" s="15" t="n"/>
      <c r="C29" s="9" t="inlineStr">
        <is>
          <t>W-24</t>
        </is>
      </c>
      <c r="D29" s="2" t="inlineStr">
        <is>
          <t>FTP 접근 제어 설정</t>
        </is>
      </c>
      <c r="E29" s="9" t="inlineStr">
        <is>
          <t>상</t>
        </is>
      </c>
      <c r="F29" s="16" t="inlineStr">
        <is>
          <t>N/A</t>
        </is>
      </c>
      <c r="H29" s="15" t="n"/>
      <c r="I29" s="12">
        <f>IF(COUNTIF($F29:$F29,"N/A")=COUNTA($F29:$F29),"N/A",$J29/(COUNTA($F29:$F29)-$L29))</f>
        <v/>
      </c>
      <c r="J29" s="9">
        <f>COUNTIF($F29:$F29,"양호")</f>
        <v/>
      </c>
      <c r="K29" s="9">
        <f>COUNTIF($F29:$F29,"취약")</f>
        <v/>
      </c>
      <c r="L29" s="9">
        <f>COUNTIF($F29:$F29,"N/A")</f>
        <v/>
      </c>
    </row>
    <row r="30">
      <c r="B30" s="15" t="n"/>
      <c r="C30" s="9" t="inlineStr">
        <is>
          <t>W-25</t>
        </is>
      </c>
      <c r="D30" s="2" t="inlineStr">
        <is>
          <t>DNS Zone Transfer 설정</t>
        </is>
      </c>
      <c r="E30" s="9" t="inlineStr">
        <is>
          <t>상</t>
        </is>
      </c>
      <c r="F30" s="14" t="inlineStr">
        <is>
          <t>양호</t>
        </is>
      </c>
      <c r="H30" s="15" t="n"/>
      <c r="I30" s="12">
        <f>IF(COUNTIF($F30:$F30,"N/A")=COUNTA($F30:$F30),"N/A",$J30/(COUNTA($F30:$F30)-$L30))</f>
        <v/>
      </c>
      <c r="J30" s="9">
        <f>COUNTIF($F30:$F30,"양호")</f>
        <v/>
      </c>
      <c r="K30" s="9">
        <f>COUNTIF($F30:$F30,"취약")</f>
        <v/>
      </c>
      <c r="L30" s="9">
        <f>COUNTIF($F30:$F30,"N/A")</f>
        <v/>
      </c>
    </row>
    <row r="31">
      <c r="B31" s="15" t="n"/>
      <c r="C31" s="9" t="inlineStr">
        <is>
          <t>W-26</t>
        </is>
      </c>
      <c r="D31" s="2" t="inlineStr">
        <is>
          <t>RDS(Remote Data Services) 제거</t>
        </is>
      </c>
      <c r="E31" s="9" t="inlineStr">
        <is>
          <t>상</t>
        </is>
      </c>
      <c r="F31" s="14" t="inlineStr">
        <is>
          <t>양호</t>
        </is>
      </c>
      <c r="H31" s="15" t="n"/>
      <c r="I31" s="12">
        <f>IF(COUNTIF($F31:$F31,"N/A")=COUNTA($F31:$F31),"N/A",$J31/(COUNTA($F31:$F31)-$L31))</f>
        <v/>
      </c>
      <c r="J31" s="9">
        <f>COUNTIF($F31:$F31,"양호")</f>
        <v/>
      </c>
      <c r="K31" s="9">
        <f>COUNTIF($F31:$F31,"취약")</f>
        <v/>
      </c>
      <c r="L31" s="9">
        <f>COUNTIF($F31:$F31,"N/A")</f>
        <v/>
      </c>
    </row>
    <row r="32">
      <c r="B32" s="15" t="n"/>
      <c r="C32" s="9" t="inlineStr">
        <is>
          <t>W-27</t>
        </is>
      </c>
      <c r="D32" s="2" t="inlineStr">
        <is>
          <t>최신 Windows OS Build 버전 적용</t>
        </is>
      </c>
      <c r="E32" s="9" t="inlineStr">
        <is>
          <t>상</t>
        </is>
      </c>
      <c r="F32" s="16" t="inlineStr">
        <is>
          <t>N/A</t>
        </is>
      </c>
      <c r="H32" s="15" t="n"/>
      <c r="I32" s="12">
        <f>IF(COUNTIF($F32:$F32,"N/A")=COUNTA($F32:$F32),"N/A",$J32/(COUNTA($F32:$F32)-$L32))</f>
        <v/>
      </c>
      <c r="J32" s="9">
        <f>COUNTIF($F32:$F32,"양호")</f>
        <v/>
      </c>
      <c r="K32" s="9">
        <f>COUNTIF($F32:$F32,"취약")</f>
        <v/>
      </c>
      <c r="L32" s="9">
        <f>COUNTIF($F32:$F32,"N/A")</f>
        <v/>
      </c>
    </row>
    <row r="33">
      <c r="B33" s="15" t="n"/>
      <c r="C33" s="9" t="inlineStr">
        <is>
          <t>W-28</t>
        </is>
      </c>
      <c r="D33" s="2" t="inlineStr">
        <is>
          <t>터미널 서비스 암호화 수준 설정</t>
        </is>
      </c>
      <c r="E33" s="9" t="inlineStr">
        <is>
          <t>중</t>
        </is>
      </c>
      <c r="F33" s="14" t="inlineStr">
        <is>
          <t>양호</t>
        </is>
      </c>
      <c r="H33" s="15" t="n"/>
      <c r="I33" s="12">
        <f>IF(COUNTIF($F33:$F33,"N/A")=COUNTA($F33:$F33),"N/A",$J33/(COUNTA($F33:$F33)-$L33))</f>
        <v/>
      </c>
      <c r="J33" s="9">
        <f>COUNTIF($F33:$F33,"양호")</f>
        <v/>
      </c>
      <c r="K33" s="9">
        <f>COUNTIF($F33:$F33,"취약")</f>
        <v/>
      </c>
      <c r="L33" s="9">
        <f>COUNTIF($F33:$F33,"N/A")</f>
        <v/>
      </c>
    </row>
    <row r="34">
      <c r="B34" s="15" t="n"/>
      <c r="C34" s="9" t="inlineStr">
        <is>
          <t>W-29</t>
        </is>
      </c>
      <c r="D34" s="2" t="inlineStr">
        <is>
          <t>불필요한 SNMP 서비스 구동 점검</t>
        </is>
      </c>
      <c r="E34" s="9" t="inlineStr">
        <is>
          <t>중</t>
        </is>
      </c>
      <c r="F34" s="14" t="inlineStr">
        <is>
          <t>양호</t>
        </is>
      </c>
      <c r="H34" s="15" t="n"/>
      <c r="I34" s="12">
        <f>IF(COUNTIF($F34:$F34,"N/A")=COUNTA($F34:$F34),"N/A",$J34/(COUNTA($F34:$F34)-$L34))</f>
        <v/>
      </c>
      <c r="J34" s="9">
        <f>COUNTIF($F34:$F34,"양호")</f>
        <v/>
      </c>
      <c r="K34" s="9">
        <f>COUNTIF($F34:$F34,"취약")</f>
        <v/>
      </c>
      <c r="L34" s="9">
        <f>COUNTIF($F34:$F34,"N/A")</f>
        <v/>
      </c>
    </row>
    <row r="35">
      <c r="B35" s="15" t="n"/>
      <c r="C35" s="9" t="inlineStr">
        <is>
          <t>W-30</t>
        </is>
      </c>
      <c r="D35" s="2" t="inlineStr">
        <is>
          <t>SNMP Community String 복잡성 설정</t>
        </is>
      </c>
      <c r="E35" s="9" t="inlineStr">
        <is>
          <t>중</t>
        </is>
      </c>
      <c r="F35" s="14" t="inlineStr">
        <is>
          <t>양호</t>
        </is>
      </c>
      <c r="H35" s="15" t="n"/>
      <c r="I35" s="12">
        <f>IF(COUNTIF($F35:$F35,"N/A")=COUNTA($F35:$F35),"N/A",$J35/(COUNTA($F35:$F35)-$L35))</f>
        <v/>
      </c>
      <c r="J35" s="9">
        <f>COUNTIF($F35:$F35,"양호")</f>
        <v/>
      </c>
      <c r="K35" s="9">
        <f>COUNTIF($F35:$F35,"취약")</f>
        <v/>
      </c>
      <c r="L35" s="9">
        <f>COUNTIF($F35:$F35,"N/A")</f>
        <v/>
      </c>
    </row>
    <row r="36">
      <c r="B36" s="15" t="n"/>
      <c r="C36" s="9" t="inlineStr">
        <is>
          <t>W-31</t>
        </is>
      </c>
      <c r="D36" s="2" t="inlineStr">
        <is>
          <t>SNMP Access control 설정</t>
        </is>
      </c>
      <c r="E36" s="9" t="inlineStr">
        <is>
          <t>중</t>
        </is>
      </c>
      <c r="F36" s="14" t="inlineStr">
        <is>
          <t>양호</t>
        </is>
      </c>
      <c r="H36" s="15" t="n"/>
      <c r="I36" s="12">
        <f>IF(COUNTIF($F36:$F36,"N/A")=COUNTA($F36:$F36),"N/A",$J36/(COUNTA($F36:$F36)-$L36))</f>
        <v/>
      </c>
      <c r="J36" s="9">
        <f>COUNTIF($F36:$F36,"양호")</f>
        <v/>
      </c>
      <c r="K36" s="9">
        <f>COUNTIF($F36:$F36,"취약")</f>
        <v/>
      </c>
      <c r="L36" s="9">
        <f>COUNTIF($F36:$F36,"N/A")</f>
        <v/>
      </c>
    </row>
    <row r="37">
      <c r="B37" s="15" t="n"/>
      <c r="C37" s="9" t="inlineStr">
        <is>
          <t>W-32</t>
        </is>
      </c>
      <c r="D37" s="2" t="inlineStr">
        <is>
          <t>DNS 서비스 구동 점검</t>
        </is>
      </c>
      <c r="E37" s="9" t="inlineStr">
        <is>
          <t>중</t>
        </is>
      </c>
      <c r="F37" s="14" t="inlineStr">
        <is>
          <t>양호</t>
        </is>
      </c>
      <c r="H37" s="15" t="n"/>
      <c r="I37" s="12">
        <f>IF(COUNTIF($F37:$F37,"N/A")=COUNTA($F37:$F37),"N/A",$J37/(COUNTA($F37:$F37)-$L37))</f>
        <v/>
      </c>
      <c r="J37" s="9">
        <f>COUNTIF($F37:$F37,"양호")</f>
        <v/>
      </c>
      <c r="K37" s="9">
        <f>COUNTIF($F37:$F37,"취약")</f>
        <v/>
      </c>
      <c r="L37" s="9">
        <f>COUNTIF($F37:$F37,"N/A")</f>
        <v/>
      </c>
    </row>
    <row r="38">
      <c r="B38" s="15" t="n"/>
      <c r="C38" s="9" t="inlineStr">
        <is>
          <t>W-33</t>
        </is>
      </c>
      <c r="D38" s="2" t="inlineStr">
        <is>
          <t>HTTP/FTP/SMTP 배너 차단</t>
        </is>
      </c>
      <c r="E38" s="9" t="inlineStr">
        <is>
          <t>하</t>
        </is>
      </c>
      <c r="F38" s="16" t="inlineStr">
        <is>
          <t>N/A</t>
        </is>
      </c>
      <c r="H38" s="15" t="n"/>
      <c r="I38" s="12">
        <f>IF(COUNTIF($F38:$F38,"N/A")=COUNTA($F38:$F38),"N/A",$J38/(COUNTA($F38:$F38)-$L38))</f>
        <v/>
      </c>
      <c r="J38" s="9">
        <f>COUNTIF($F38:$F38,"양호")</f>
        <v/>
      </c>
      <c r="K38" s="9">
        <f>COUNTIF($F38:$F38,"취약")</f>
        <v/>
      </c>
      <c r="L38" s="9">
        <f>COUNTIF($F38:$F38,"N/A")</f>
        <v/>
      </c>
    </row>
    <row r="39">
      <c r="B39" s="15" t="n"/>
      <c r="C39" s="9" t="inlineStr">
        <is>
          <t>W-34</t>
        </is>
      </c>
      <c r="D39" s="2" t="inlineStr">
        <is>
          <t>Telnet 서비스 비활성화</t>
        </is>
      </c>
      <c r="E39" s="9" t="inlineStr">
        <is>
          <t>중</t>
        </is>
      </c>
      <c r="F39" s="16" t="inlineStr">
        <is>
          <t>N/A</t>
        </is>
      </c>
      <c r="H39" s="15" t="n"/>
      <c r="I39" s="12">
        <f>IF(COUNTIF($F39:$F39,"N/A")=COUNTA($F39:$F39),"N/A",$J39/(COUNTA($F39:$F39)-$L39))</f>
        <v/>
      </c>
      <c r="J39" s="9">
        <f>COUNTIF($F39:$F39,"양호")</f>
        <v/>
      </c>
      <c r="K39" s="9">
        <f>COUNTIF($F39:$F39,"취약")</f>
        <v/>
      </c>
      <c r="L39" s="9">
        <f>COUNTIF($F39:$F39,"N/A")</f>
        <v/>
      </c>
    </row>
    <row r="40">
      <c r="B40" s="15" t="n"/>
      <c r="C40" s="9" t="inlineStr">
        <is>
          <t>W-35</t>
        </is>
      </c>
      <c r="D40" s="2" t="inlineStr">
        <is>
          <t>불필요한 ODBC/OLE-DB 데이터 소스와 드라이버 제거</t>
        </is>
      </c>
      <c r="E40" s="9" t="inlineStr">
        <is>
          <t>중</t>
        </is>
      </c>
      <c r="F40" s="14" t="inlineStr">
        <is>
          <t>양호</t>
        </is>
      </c>
      <c r="H40" s="15" t="n"/>
      <c r="I40" s="12">
        <f>IF(COUNTIF($F40:$F40,"N/A")=COUNTA($F40:$F40),"N/A",$J40/(COUNTA($F40:$F40)-$L40))</f>
        <v/>
      </c>
      <c r="J40" s="9">
        <f>COUNTIF($F40:$F40,"양호")</f>
        <v/>
      </c>
      <c r="K40" s="9">
        <f>COUNTIF($F40:$F40,"취약")</f>
        <v/>
      </c>
      <c r="L40" s="9">
        <f>COUNTIF($F40:$F40,"N/A")</f>
        <v/>
      </c>
    </row>
    <row r="41">
      <c r="B41" s="15" t="n"/>
      <c r="C41" s="9" t="inlineStr">
        <is>
          <t>W-36</t>
        </is>
      </c>
      <c r="D41" s="2" t="inlineStr">
        <is>
          <t>원격터미널 접속 타임아웃 설정</t>
        </is>
      </c>
      <c r="E41" s="9" t="inlineStr">
        <is>
          <t>중</t>
        </is>
      </c>
      <c r="F41" s="14" t="inlineStr">
        <is>
          <t>양호</t>
        </is>
      </c>
      <c r="H41" s="15" t="n"/>
      <c r="I41" s="12">
        <f>IF(COUNTIF($F41:$F41,"N/A")=COUNTA($F41:$F41),"N/A",$J41/(COUNTA($F41:$F41)-$L41))</f>
        <v/>
      </c>
      <c r="J41" s="9">
        <f>COUNTIF($F41:$F41,"양호")</f>
        <v/>
      </c>
      <c r="K41" s="9">
        <f>COUNTIF($F41:$F41,"취약")</f>
        <v/>
      </c>
      <c r="L41" s="9">
        <f>COUNTIF($F41:$F41,"N/A")</f>
        <v/>
      </c>
    </row>
    <row r="42">
      <c r="B42" s="15" t="n"/>
      <c r="C42" s="9" t="inlineStr">
        <is>
          <t>W-37</t>
        </is>
      </c>
      <c r="D42" s="2" t="inlineStr">
        <is>
          <t>예약된 작업에 의심스러운 명령 등록 점검</t>
        </is>
      </c>
      <c r="E42" s="9" t="inlineStr">
        <is>
          <t>상</t>
        </is>
      </c>
      <c r="F42" s="16" t="inlineStr">
        <is>
          <t>N/A</t>
        </is>
      </c>
      <c r="H42" s="15" t="n"/>
      <c r="I42" s="12">
        <f>IF(COUNTIF($F42:$F42,"N/A")=COUNTA($F42:$F42),"N/A",$J42/(COUNTA($F42:$F42)-$L42))</f>
        <v/>
      </c>
      <c r="J42" s="9">
        <f>COUNTIF($F42:$F42,"양호")</f>
        <v/>
      </c>
      <c r="K42" s="9">
        <f>COUNTIF($F42:$F42,"취약")</f>
        <v/>
      </c>
      <c r="L42" s="9">
        <f>COUNTIF($F42:$F42,"N/A")</f>
        <v/>
      </c>
    </row>
    <row r="43">
      <c r="B43" s="9" t="inlineStr">
        <is>
          <t>패치 관리</t>
        </is>
      </c>
      <c r="C43" s="9" t="inlineStr">
        <is>
          <t>W-38</t>
        </is>
      </c>
      <c r="D43" s="2" t="inlineStr">
        <is>
          <t>주기적 보안 패치 및 벤더 권고사항 적용</t>
        </is>
      </c>
      <c r="E43" s="9" t="inlineStr">
        <is>
          <t>상</t>
        </is>
      </c>
      <c r="F43" s="16" t="inlineStr">
        <is>
          <t>N/A</t>
        </is>
      </c>
      <c r="H43" s="12">
        <f>IF(COUNTIF(I43:I44,"N/A")=COUNTA(I43:I44),"N/A",AVERAGE(I43:I44))</f>
        <v/>
      </c>
      <c r="I43" s="12">
        <f>IF(COUNTIF($F43:$F43,"N/A")=COUNTA($F43:$F43),"N/A",$J43/(COUNTA($F43:$F43)-$L43))</f>
        <v/>
      </c>
      <c r="J43" s="9">
        <f>COUNTIF($F43:$F43,"양호")</f>
        <v/>
      </c>
      <c r="K43" s="9">
        <f>COUNTIF($F43:$F43,"취약")</f>
        <v/>
      </c>
      <c r="L43" s="9">
        <f>COUNTIF($F43:$F43,"N/A")</f>
        <v/>
      </c>
    </row>
    <row r="44">
      <c r="B44" s="15" t="n"/>
      <c r="C44" s="9" t="inlineStr">
        <is>
          <t>W-39</t>
        </is>
      </c>
      <c r="D44" s="2" t="inlineStr">
        <is>
          <t>백신 프로그램 업데이트</t>
        </is>
      </c>
      <c r="E44" s="9" t="inlineStr">
        <is>
          <t>상</t>
        </is>
      </c>
      <c r="F44" s="16" t="inlineStr">
        <is>
          <t>N/A</t>
        </is>
      </c>
      <c r="H44" s="15" t="n"/>
      <c r="I44" s="12">
        <f>IF(COUNTIF($F44:$F44,"N/A")=COUNTA($F44:$F44),"N/A",$J44/(COUNTA($F44:$F44)-$L44))</f>
        <v/>
      </c>
      <c r="J44" s="9">
        <f>COUNTIF($F44:$F44,"양호")</f>
        <v/>
      </c>
      <c r="K44" s="9">
        <f>COUNTIF($F44:$F44,"취약")</f>
        <v/>
      </c>
      <c r="L44" s="9">
        <f>COUNTIF($F44:$F44,"N/A")</f>
        <v/>
      </c>
    </row>
    <row r="45">
      <c r="B45" s="9" t="inlineStr">
        <is>
          <t>로그 관리</t>
        </is>
      </c>
      <c r="C45" s="9" t="inlineStr">
        <is>
          <t>W-40</t>
        </is>
      </c>
      <c r="D45" s="2" t="inlineStr">
        <is>
          <t>정책에 따른 시스템 로깅 설정</t>
        </is>
      </c>
      <c r="E45" s="9" t="inlineStr">
        <is>
          <t>중</t>
        </is>
      </c>
      <c r="F45" s="14" t="inlineStr">
        <is>
          <t>양호</t>
        </is>
      </c>
      <c r="H45" s="12">
        <f>IF(COUNTIF(I45:I48,"N/A")=COUNTA(I45:I48),"N/A",AVERAGE(I45:I48))</f>
        <v/>
      </c>
      <c r="I45" s="12">
        <f>IF(COUNTIF($F45:$F45,"N/A")=COUNTA($F45:$F45),"N/A",$J45/(COUNTA($F45:$F45)-$L45))</f>
        <v/>
      </c>
      <c r="J45" s="9">
        <f>COUNTIF($F45:$F45,"양호")</f>
        <v/>
      </c>
      <c r="K45" s="9">
        <f>COUNTIF($F45:$F45,"취약")</f>
        <v/>
      </c>
      <c r="L45" s="9">
        <f>COUNTIF($F45:$F45,"N/A")</f>
        <v/>
      </c>
    </row>
    <row r="46">
      <c r="B46" s="15" t="n"/>
      <c r="C46" s="9" t="inlineStr">
        <is>
          <t>W-41</t>
        </is>
      </c>
      <c r="D46" s="2" t="inlineStr">
        <is>
          <t>NTP 및 시각 동기화 설정</t>
        </is>
      </c>
      <c r="E46" s="9" t="inlineStr">
        <is>
          <t>중</t>
        </is>
      </c>
      <c r="F46" s="14" t="inlineStr">
        <is>
          <t>양호</t>
        </is>
      </c>
      <c r="H46" s="15" t="n"/>
      <c r="I46" s="12">
        <f>IF(COUNTIF($F46:$F46,"N/A")=COUNTA($F46:$F46),"N/A",$J46/(COUNTA($F46:$F46)-$L46))</f>
        <v/>
      </c>
      <c r="J46" s="9">
        <f>COUNTIF($F46:$F46,"양호")</f>
        <v/>
      </c>
      <c r="K46" s="9">
        <f>COUNTIF($F46:$F46,"취약")</f>
        <v/>
      </c>
      <c r="L46" s="9">
        <f>COUNTIF($F46:$F46,"N/A")</f>
        <v/>
      </c>
    </row>
    <row r="47">
      <c r="B47" s="15" t="n"/>
      <c r="C47" s="9" t="inlineStr">
        <is>
          <t>W-42</t>
        </is>
      </c>
      <c r="D47" s="2" t="inlineStr">
        <is>
          <t>로그 관리 설정</t>
        </is>
      </c>
      <c r="E47" s="9" t="inlineStr">
        <is>
          <t>하</t>
        </is>
      </c>
      <c r="F47" s="14" t="inlineStr">
        <is>
          <t>양호</t>
        </is>
      </c>
      <c r="H47" s="15" t="n"/>
      <c r="I47" s="12">
        <f>IF(COUNTIF($F47:$F47,"N/A")=COUNTA($F47:$F47),"N/A",$J47/(COUNTA($F47:$F47)-$L47))</f>
        <v/>
      </c>
      <c r="J47" s="9">
        <f>COUNTIF($F47:$F47,"양호")</f>
        <v/>
      </c>
      <c r="K47" s="9">
        <f>COUNTIF($F47:$F47,"취약")</f>
        <v/>
      </c>
      <c r="L47" s="9">
        <f>COUNTIF($F47:$F47,"N/A")</f>
        <v/>
      </c>
    </row>
    <row r="48">
      <c r="B48" s="15" t="n"/>
      <c r="C48" s="9" t="inlineStr">
        <is>
          <t>W-43</t>
        </is>
      </c>
      <c r="D48" s="2" t="inlineStr">
        <is>
          <t>이벤트 로그 파일 접근 통제 설정</t>
        </is>
      </c>
      <c r="E48" s="9" t="inlineStr">
        <is>
          <t>중</t>
        </is>
      </c>
      <c r="F48" s="14" t="inlineStr">
        <is>
          <t>양호</t>
        </is>
      </c>
      <c r="H48" s="15" t="n"/>
      <c r="I48" s="12">
        <f>IF(COUNTIF($F48:$F48,"N/A")=COUNTA($F48:$F48),"N/A",$J48/(COUNTA($F48:$F48)-$L48))</f>
        <v/>
      </c>
      <c r="J48" s="9">
        <f>COUNTIF($F48:$F48,"양호")</f>
        <v/>
      </c>
      <c r="K48" s="9">
        <f>COUNTIF($F48:$F48,"취약")</f>
        <v/>
      </c>
      <c r="L48" s="9">
        <f>COUNTIF($F48:$F48,"N/A")</f>
        <v/>
      </c>
    </row>
    <row r="49">
      <c r="B49" s="9" t="inlineStr">
        <is>
          <t>보안 관리</t>
        </is>
      </c>
      <c r="C49" s="9" t="inlineStr">
        <is>
          <t>W-44</t>
        </is>
      </c>
      <c r="D49" s="2" t="inlineStr">
        <is>
          <t>원격으로 액세스할 수 있는 레지스트리 경로 제한</t>
        </is>
      </c>
      <c r="E49" s="9" t="inlineStr">
        <is>
          <t>상</t>
        </is>
      </c>
      <c r="F49" s="14" t="inlineStr">
        <is>
          <t>양호</t>
        </is>
      </c>
      <c r="H49" s="12">
        <f>IF(COUNTIF(I49:I69,"N/A")=COUNTA(I49:I69),"N/A",AVERAGE(I49:I69))</f>
        <v/>
      </c>
      <c r="I49" s="12">
        <f>IF(COUNTIF($F49:$F49,"N/A")=COUNTA($F49:$F49),"N/A",$J49/(COUNTA($F49:$F49)-$L49))</f>
        <v/>
      </c>
      <c r="J49" s="9">
        <f>COUNTIF($F49:$F49,"양호")</f>
        <v/>
      </c>
      <c r="K49" s="9">
        <f>COUNTIF($F49:$F49,"취약")</f>
        <v/>
      </c>
      <c r="L49" s="9">
        <f>COUNTIF($F49:$F49,"N/A")</f>
        <v/>
      </c>
    </row>
    <row r="50">
      <c r="B50" s="15" t="n"/>
      <c r="C50" s="9" t="inlineStr">
        <is>
          <t>W-45</t>
        </is>
      </c>
      <c r="D50" s="2" t="inlineStr">
        <is>
          <t>백신 프로그램 설치</t>
        </is>
      </c>
      <c r="E50" s="9" t="inlineStr">
        <is>
          <t>상</t>
        </is>
      </c>
      <c r="F50" s="14" t="inlineStr">
        <is>
          <t>양호</t>
        </is>
      </c>
      <c r="H50" s="15" t="n"/>
      <c r="I50" s="12">
        <f>IF(COUNTIF($F50:$F50,"N/A")=COUNTA($F50:$F50),"N/A",$J50/(COUNTA($F50:$F50)-$L50))</f>
        <v/>
      </c>
      <c r="J50" s="9">
        <f>COUNTIF($F50:$F50,"양호")</f>
        <v/>
      </c>
      <c r="K50" s="9">
        <f>COUNTIF($F50:$F50,"취약")</f>
        <v/>
      </c>
      <c r="L50" s="9">
        <f>COUNTIF($F50:$F50,"N/A")</f>
        <v/>
      </c>
    </row>
    <row r="51">
      <c r="B51" s="15" t="n"/>
      <c r="C51" s="9" t="inlineStr">
        <is>
          <t>W-46</t>
        </is>
      </c>
      <c r="D51" s="2" t="inlineStr">
        <is>
          <t>SAM 파일 접근 통제 설정</t>
        </is>
      </c>
      <c r="E51" s="9" t="inlineStr">
        <is>
          <t>상</t>
        </is>
      </c>
      <c r="F51" s="14" t="inlineStr">
        <is>
          <t>양호</t>
        </is>
      </c>
      <c r="H51" s="15" t="n"/>
      <c r="I51" s="12">
        <f>IF(COUNTIF($F51:$F51,"N/A")=COUNTA($F51:$F51),"N/A",$J51/(COUNTA($F51:$F51)-$L51))</f>
        <v/>
      </c>
      <c r="J51" s="9">
        <f>COUNTIF($F51:$F51,"양호")</f>
        <v/>
      </c>
      <c r="K51" s="9">
        <f>COUNTIF($F51:$F51,"취약")</f>
        <v/>
      </c>
      <c r="L51" s="9">
        <f>COUNTIF($F51:$F51,"N/A")</f>
        <v/>
      </c>
    </row>
    <row r="52">
      <c r="B52" s="15" t="n"/>
      <c r="C52" s="9" t="inlineStr">
        <is>
          <t>W-47</t>
        </is>
      </c>
      <c r="D52" s="2" t="inlineStr">
        <is>
          <t>화면보호기 설정</t>
        </is>
      </c>
      <c r="E52" s="9" t="inlineStr">
        <is>
          <t>상</t>
        </is>
      </c>
      <c r="F52" s="14" t="inlineStr">
        <is>
          <t>양호</t>
        </is>
      </c>
      <c r="H52" s="15" t="n"/>
      <c r="I52" s="12">
        <f>IF(COUNTIF($F52:$F52,"N/A")=COUNTA($F52:$F52),"N/A",$J52/(COUNTA($F52:$F52)-$L52))</f>
        <v/>
      </c>
      <c r="J52" s="9">
        <f>COUNTIF($F52:$F52,"양호")</f>
        <v/>
      </c>
      <c r="K52" s="9">
        <f>COUNTIF($F52:$F52,"취약")</f>
        <v/>
      </c>
      <c r="L52" s="9">
        <f>COUNTIF($F52:$F52,"N/A")</f>
        <v/>
      </c>
    </row>
    <row r="53">
      <c r="B53" s="15" t="n"/>
      <c r="C53" s="9" t="inlineStr">
        <is>
          <t>W-48</t>
        </is>
      </c>
      <c r="D53" s="2" t="inlineStr">
        <is>
          <t>로그온하지 않고 시스템 종료 허용 해제</t>
        </is>
      </c>
      <c r="E53" s="9" t="inlineStr">
        <is>
          <t>상</t>
        </is>
      </c>
      <c r="F53" s="14" t="inlineStr">
        <is>
          <t>양호</t>
        </is>
      </c>
      <c r="H53" s="15" t="n"/>
      <c r="I53" s="12">
        <f>IF(COUNTIF($F53:$F53,"N/A")=COUNTA($F53:$F53),"N/A",$J53/(COUNTA($F53:$F53)-$L53))</f>
        <v/>
      </c>
      <c r="J53" s="9">
        <f>COUNTIF($F53:$F53,"양호")</f>
        <v/>
      </c>
      <c r="K53" s="9">
        <f>COUNTIF($F53:$F53,"취약")</f>
        <v/>
      </c>
      <c r="L53" s="9">
        <f>COUNTIF($F53:$F53,"N/A")</f>
        <v/>
      </c>
    </row>
    <row r="54">
      <c r="B54" s="15" t="n"/>
      <c r="C54" s="9" t="inlineStr">
        <is>
          <t>W-49</t>
        </is>
      </c>
      <c r="D54" s="2" t="inlineStr">
        <is>
          <t>원격 시스템에서 강제로 시스템 종료 제한</t>
        </is>
      </c>
      <c r="E54" s="9" t="inlineStr">
        <is>
          <t>상</t>
        </is>
      </c>
      <c r="F54" s="14" t="inlineStr">
        <is>
          <t>양호</t>
        </is>
      </c>
      <c r="H54" s="15" t="n"/>
      <c r="I54" s="12">
        <f>IF(COUNTIF($F54:$F54,"N/A")=COUNTA($F54:$F54),"N/A",$J54/(COUNTA($F54:$F54)-$L54))</f>
        <v/>
      </c>
      <c r="J54" s="9">
        <f>COUNTIF($F54:$F54,"양호")</f>
        <v/>
      </c>
      <c r="K54" s="9">
        <f>COUNTIF($F54:$F54,"취약")</f>
        <v/>
      </c>
      <c r="L54" s="9">
        <f>COUNTIF($F54:$F54,"N/A")</f>
        <v/>
      </c>
    </row>
    <row r="55">
      <c r="B55" s="15" t="n"/>
      <c r="C55" s="9" t="inlineStr">
        <is>
          <t>W-50</t>
        </is>
      </c>
      <c r="D55" s="2" t="inlineStr">
        <is>
          <t>보안 감사를 로그할 수 없는 경우 즉시 시스템 종료</t>
        </is>
      </c>
      <c r="E55" s="9" t="inlineStr">
        <is>
          <t>상</t>
        </is>
      </c>
      <c r="F55" s="14" t="inlineStr">
        <is>
          <t>양호</t>
        </is>
      </c>
      <c r="H55" s="15" t="n"/>
      <c r="I55" s="12">
        <f>IF(COUNTIF($F55:$F55,"N/A")=COUNTA($F55:$F55),"N/A",$J55/(COUNTA($F55:$F55)-$L55))</f>
        <v/>
      </c>
      <c r="J55" s="9">
        <f>COUNTIF($F55:$F55,"양호")</f>
        <v/>
      </c>
      <c r="K55" s="9">
        <f>COUNTIF($F55:$F55,"취약")</f>
        <v/>
      </c>
      <c r="L55" s="9">
        <f>COUNTIF($F55:$F55,"N/A")</f>
        <v/>
      </c>
    </row>
    <row r="56">
      <c r="B56" s="15" t="n"/>
      <c r="C56" s="9" t="inlineStr">
        <is>
          <t>W-51</t>
        </is>
      </c>
      <c r="D56" s="2" t="inlineStr">
        <is>
          <t>SAM 계정과 공유의 익명 열거 허용 안 함</t>
        </is>
      </c>
      <c r="E56" s="9" t="inlineStr">
        <is>
          <t>상</t>
        </is>
      </c>
      <c r="F56" s="14" t="inlineStr">
        <is>
          <t>양호</t>
        </is>
      </c>
      <c r="H56" s="15" t="n"/>
      <c r="I56" s="12">
        <f>IF(COUNTIF($F56:$F56,"N/A")=COUNTA($F56:$F56),"N/A",$J56/(COUNTA($F56:$F56)-$L56))</f>
        <v/>
      </c>
      <c r="J56" s="9">
        <f>COUNTIF($F56:$F56,"양호")</f>
        <v/>
      </c>
      <c r="K56" s="9">
        <f>COUNTIF($F56:$F56,"취약")</f>
        <v/>
      </c>
      <c r="L56" s="9">
        <f>COUNTIF($F56:$F56,"N/A")</f>
        <v/>
      </c>
    </row>
    <row r="57">
      <c r="B57" s="15" t="n"/>
      <c r="C57" s="9" t="inlineStr">
        <is>
          <t>W-52</t>
        </is>
      </c>
      <c r="D57" s="2" t="inlineStr">
        <is>
          <t>Autologon 기능 제어</t>
        </is>
      </c>
      <c r="E57" s="9" t="inlineStr">
        <is>
          <t>상</t>
        </is>
      </c>
      <c r="F57" s="14" t="inlineStr">
        <is>
          <t>양호</t>
        </is>
      </c>
      <c r="H57" s="15" t="n"/>
      <c r="I57" s="12">
        <f>IF(COUNTIF($F57:$F57,"N/A")=COUNTA($F57:$F57),"N/A",$J57/(COUNTA($F57:$F57)-$L57))</f>
        <v/>
      </c>
      <c r="J57" s="9">
        <f>COUNTIF($F57:$F57,"양호")</f>
        <v/>
      </c>
      <c r="K57" s="9">
        <f>COUNTIF($F57:$F57,"취약")</f>
        <v/>
      </c>
      <c r="L57" s="9">
        <f>COUNTIF($F57:$F57,"N/A")</f>
        <v/>
      </c>
    </row>
    <row r="58">
      <c r="B58" s="15" t="n"/>
      <c r="C58" s="9" t="inlineStr">
        <is>
          <t>W-53</t>
        </is>
      </c>
      <c r="D58" s="2" t="inlineStr">
        <is>
          <t>이동식 미디어 포맷 및 꺼내기 허용 제한</t>
        </is>
      </c>
      <c r="E58" s="9" t="inlineStr">
        <is>
          <t>상</t>
        </is>
      </c>
      <c r="F58" s="14" t="inlineStr">
        <is>
          <t>양호</t>
        </is>
      </c>
      <c r="H58" s="15" t="n"/>
      <c r="I58" s="12">
        <f>IF(COUNTIF($F58:$F58,"N/A")=COUNTA($F58:$F58),"N/A",$J58/(COUNTA($F58:$F58)-$L58))</f>
        <v/>
      </c>
      <c r="J58" s="9">
        <f>COUNTIF($F58:$F58,"양호")</f>
        <v/>
      </c>
      <c r="K58" s="9">
        <f>COUNTIF($F58:$F58,"취약")</f>
        <v/>
      </c>
      <c r="L58" s="9">
        <f>COUNTIF($F58:$F58,"N/A")</f>
        <v/>
      </c>
    </row>
    <row r="59">
      <c r="B59" s="15" t="n"/>
      <c r="C59" s="9" t="inlineStr">
        <is>
          <t>W-54</t>
        </is>
      </c>
      <c r="D59" s="2" t="inlineStr">
        <is>
          <t>DoS 공격 방어 레지스트리 설정</t>
        </is>
      </c>
      <c r="E59" s="9" t="inlineStr">
        <is>
          <t>상</t>
        </is>
      </c>
      <c r="F59" s="14" t="inlineStr">
        <is>
          <t>양호</t>
        </is>
      </c>
      <c r="H59" s="15" t="n"/>
      <c r="I59" s="12">
        <f>IF(COUNTIF($F59:$F59,"N/A")=COUNTA($F59:$F59),"N/A",$J59/(COUNTA($F59:$F59)-$L59))</f>
        <v/>
      </c>
      <c r="J59" s="9">
        <f>COUNTIF($F59:$F59,"양호")</f>
        <v/>
      </c>
      <c r="K59" s="9">
        <f>COUNTIF($F59:$F59,"취약")</f>
        <v/>
      </c>
      <c r="L59" s="9">
        <f>COUNTIF($F59:$F59,"N/A")</f>
        <v/>
      </c>
    </row>
    <row r="60">
      <c r="B60" s="15" t="n"/>
      <c r="C60" s="9" t="inlineStr">
        <is>
          <t>W-55</t>
        </is>
      </c>
      <c r="D60" s="2" t="inlineStr">
        <is>
          <t>사용자가 프린터 드라이버를 설치할 수 없게 함</t>
        </is>
      </c>
      <c r="E60" s="9" t="inlineStr">
        <is>
          <t>중</t>
        </is>
      </c>
      <c r="F60" s="14" t="inlineStr">
        <is>
          <t>양호</t>
        </is>
      </c>
      <c r="H60" s="15" t="n"/>
      <c r="I60" s="12">
        <f>IF(COUNTIF($F60:$F60,"N/A")=COUNTA($F60:$F60),"N/A",$J60/(COUNTA($F60:$F60)-$L60))</f>
        <v/>
      </c>
      <c r="J60" s="9">
        <f>COUNTIF($F60:$F60,"양호")</f>
        <v/>
      </c>
      <c r="K60" s="9">
        <f>COUNTIF($F60:$F60,"취약")</f>
        <v/>
      </c>
      <c r="L60" s="9">
        <f>COUNTIF($F60:$F60,"N/A")</f>
        <v/>
      </c>
    </row>
    <row r="61">
      <c r="B61" s="15" t="n"/>
      <c r="C61" s="9" t="inlineStr">
        <is>
          <t>W-56</t>
        </is>
      </c>
      <c r="D61" s="2" t="inlineStr">
        <is>
          <t>SMB 세션 중단 관리 설정</t>
        </is>
      </c>
      <c r="E61" s="9" t="inlineStr">
        <is>
          <t>중</t>
        </is>
      </c>
      <c r="F61" s="14" t="inlineStr">
        <is>
          <t>양호</t>
        </is>
      </c>
      <c r="H61" s="15" t="n"/>
      <c r="I61" s="12">
        <f>IF(COUNTIF($F61:$F61,"N/A")=COUNTA($F61:$F61),"N/A",$J61/(COUNTA($F61:$F61)-$L61))</f>
        <v/>
      </c>
      <c r="J61" s="9">
        <f>COUNTIF($F61:$F61,"양호")</f>
        <v/>
      </c>
      <c r="K61" s="9">
        <f>COUNTIF($F61:$F61,"취약")</f>
        <v/>
      </c>
      <c r="L61" s="9">
        <f>COUNTIF($F61:$F61,"N/A")</f>
        <v/>
      </c>
    </row>
    <row r="62">
      <c r="B62" s="15" t="n"/>
      <c r="C62" s="9" t="inlineStr">
        <is>
          <t>W-57</t>
        </is>
      </c>
      <c r="D62" s="2" t="inlineStr">
        <is>
          <t>로그온 시 경고 메시지 설정</t>
        </is>
      </c>
      <c r="E62" s="9" t="inlineStr">
        <is>
          <t>하</t>
        </is>
      </c>
      <c r="F62" s="14" t="inlineStr">
        <is>
          <t>양호</t>
        </is>
      </c>
      <c r="H62" s="15" t="n"/>
      <c r="I62" s="12">
        <f>IF(COUNTIF($F62:$F62,"N/A")=COUNTA($F62:$F62),"N/A",$J62/(COUNTA($F62:$F62)-$L62))</f>
        <v/>
      </c>
      <c r="J62" s="9">
        <f>COUNTIF($F62:$F62,"양호")</f>
        <v/>
      </c>
      <c r="K62" s="9">
        <f>COUNTIF($F62:$F62,"취약")</f>
        <v/>
      </c>
      <c r="L62" s="9">
        <f>COUNTIF($F62:$F62,"N/A")</f>
        <v/>
      </c>
    </row>
    <row r="63">
      <c r="B63" s="15" t="n"/>
      <c r="C63" s="9" t="inlineStr">
        <is>
          <t>W-58</t>
        </is>
      </c>
      <c r="D63" s="2" t="inlineStr">
        <is>
          <t>사용자별 홈 디렉터리 권한 설정</t>
        </is>
      </c>
      <c r="E63" s="9" t="inlineStr">
        <is>
          <t>중</t>
        </is>
      </c>
      <c r="F63" s="14" t="inlineStr">
        <is>
          <t>양호</t>
        </is>
      </c>
      <c r="H63" s="15" t="n"/>
      <c r="I63" s="12">
        <f>IF(COUNTIF($F63:$F63,"N/A")=COUNTA($F63:$F63),"N/A",$J63/(COUNTA($F63:$F63)-$L63))</f>
        <v/>
      </c>
      <c r="J63" s="9">
        <f>COUNTIF($F63:$F63,"양호")</f>
        <v/>
      </c>
      <c r="K63" s="9">
        <f>COUNTIF($F63:$F63,"취약")</f>
        <v/>
      </c>
      <c r="L63" s="9">
        <f>COUNTIF($F63:$F63,"N/A")</f>
        <v/>
      </c>
    </row>
    <row r="64">
      <c r="B64" s="15" t="n"/>
      <c r="C64" s="9" t="inlineStr">
        <is>
          <t>W-59</t>
        </is>
      </c>
      <c r="D64" s="2" t="inlineStr">
        <is>
          <t>LAN Manager 인증 수준</t>
        </is>
      </c>
      <c r="E64" s="9" t="inlineStr">
        <is>
          <t>중</t>
        </is>
      </c>
      <c r="F64" s="14" t="inlineStr">
        <is>
          <t>양호</t>
        </is>
      </c>
      <c r="H64" s="15" t="n"/>
      <c r="I64" s="12">
        <f>IF(COUNTIF($F64:$F64,"N/A")=COUNTA($F64:$F64),"N/A",$J64/(COUNTA($F64:$F64)-$L64))</f>
        <v/>
      </c>
      <c r="J64" s="9">
        <f>COUNTIF($F64:$F64,"양호")</f>
        <v/>
      </c>
      <c r="K64" s="9">
        <f>COUNTIF($F64:$F64,"취약")</f>
        <v/>
      </c>
      <c r="L64" s="9">
        <f>COUNTIF($F64:$F64,"N/A")</f>
        <v/>
      </c>
    </row>
    <row r="65">
      <c r="B65" s="15" t="n"/>
      <c r="C65" s="9" t="inlineStr">
        <is>
          <t>W-60</t>
        </is>
      </c>
      <c r="D65" s="2" t="inlineStr">
        <is>
          <t>보안 채널 데이터 디지털 암호화 또는 서명</t>
        </is>
      </c>
      <c r="E65" s="9" t="inlineStr">
        <is>
          <t>중</t>
        </is>
      </c>
      <c r="F65" s="14" t="inlineStr">
        <is>
          <t>양호</t>
        </is>
      </c>
      <c r="H65" s="15" t="n"/>
      <c r="I65" s="12">
        <f>IF(COUNTIF($F65:$F65,"N/A")=COUNTA($F65:$F65),"N/A",$J65/(COUNTA($F65:$F65)-$L65))</f>
        <v/>
      </c>
      <c r="J65" s="9">
        <f>COUNTIF($F65:$F65,"양호")</f>
        <v/>
      </c>
      <c r="K65" s="9">
        <f>COUNTIF($F65:$F65,"취약")</f>
        <v/>
      </c>
      <c r="L65" s="9">
        <f>COUNTIF($F65:$F65,"N/A")</f>
        <v/>
      </c>
    </row>
    <row r="66">
      <c r="B66" s="15" t="n"/>
      <c r="C66" s="9" t="inlineStr">
        <is>
          <t>W-61</t>
        </is>
      </c>
      <c r="D66" s="2" t="inlineStr">
        <is>
          <t>파일 및 디렉터리 보호</t>
        </is>
      </c>
      <c r="E66" s="9" t="inlineStr">
        <is>
          <t>중</t>
        </is>
      </c>
      <c r="F66" s="14" t="inlineStr">
        <is>
          <t>양호</t>
        </is>
      </c>
      <c r="H66" s="15" t="n"/>
      <c r="I66" s="12">
        <f>IF(COUNTIF($F66:$F66,"N/A")=COUNTA($F66:$F66),"N/A",$J66/(COUNTA($F66:$F66)-$L66))</f>
        <v/>
      </c>
      <c r="J66" s="9">
        <f>COUNTIF($F66:$F66,"양호")</f>
        <v/>
      </c>
      <c r="K66" s="9">
        <f>COUNTIF($F66:$F66,"취약")</f>
        <v/>
      </c>
      <c r="L66" s="9">
        <f>COUNTIF($F66:$F66,"N/A")</f>
        <v/>
      </c>
    </row>
    <row r="67">
      <c r="B67" s="15" t="n"/>
      <c r="C67" s="9" t="inlineStr">
        <is>
          <t>W-62</t>
        </is>
      </c>
      <c r="D67" s="2" t="inlineStr">
        <is>
          <t>시작프로그램 목록 분석</t>
        </is>
      </c>
      <c r="E67" s="9" t="inlineStr">
        <is>
          <t>중</t>
        </is>
      </c>
      <c r="F67" s="16" t="inlineStr">
        <is>
          <t>N/A</t>
        </is>
      </c>
      <c r="H67" s="15" t="n"/>
      <c r="I67" s="12">
        <f>IF(COUNTIF($F67:$F67,"N/A")=COUNTA($F67:$F67),"N/A",$J67/(COUNTA($F67:$F67)-$L67))</f>
        <v/>
      </c>
      <c r="J67" s="9">
        <f>COUNTIF($F67:$F67,"양호")</f>
        <v/>
      </c>
      <c r="K67" s="9">
        <f>COUNTIF($F67:$F67,"취약")</f>
        <v/>
      </c>
      <c r="L67" s="9">
        <f>COUNTIF($F67:$F67,"N/A")</f>
        <v/>
      </c>
    </row>
    <row r="68">
      <c r="B68" s="15" t="n"/>
      <c r="C68" s="9" t="inlineStr">
        <is>
          <t>W-63</t>
        </is>
      </c>
      <c r="D68" s="2" t="inlineStr">
        <is>
          <t>도메인 컨트롤러 사용자 시간 동기화</t>
        </is>
      </c>
      <c r="E68" s="9" t="inlineStr">
        <is>
          <t>중</t>
        </is>
      </c>
      <c r="F68" s="16" t="inlineStr">
        <is>
          <t>N/A</t>
        </is>
      </c>
      <c r="H68" s="15" t="n"/>
      <c r="I68" s="12">
        <f>IF(COUNTIF($F68:$F68,"N/A")=COUNTA($F68:$F68),"N/A",$J68/(COUNTA($F68:$F68)-$L68))</f>
        <v/>
      </c>
      <c r="J68" s="9">
        <f>COUNTIF($F68:$F68,"양호")</f>
        <v/>
      </c>
      <c r="K68" s="9">
        <f>COUNTIF($F68:$F68,"취약")</f>
        <v/>
      </c>
      <c r="L68" s="9">
        <f>COUNTIF($F68:$F68,"N/A")</f>
        <v/>
      </c>
    </row>
    <row r="69">
      <c r="B69" s="15" t="n"/>
      <c r="C69" s="9" t="inlineStr">
        <is>
          <t>W-64</t>
        </is>
      </c>
      <c r="D69" s="2" t="inlineStr">
        <is>
          <t>윈도우 방화벽 설정</t>
        </is>
      </c>
      <c r="E69" s="9" t="inlineStr">
        <is>
          <t>중</t>
        </is>
      </c>
      <c r="F69" s="14" t="inlineStr">
        <is>
          <t>양호</t>
        </is>
      </c>
      <c r="H69" s="15" t="n"/>
      <c r="I69" s="12">
        <f>IF(COUNTIF($F69:$F69,"N/A")=COUNTA($F69:$F69),"N/A",$J69/(COUNTA($F69:$F69)-$L69))</f>
        <v/>
      </c>
      <c r="J69" s="9">
        <f>COUNTIF($F69:$F69,"양호")</f>
        <v/>
      </c>
      <c r="K69" s="9">
        <f>COUNTIF($F69:$F69,"취약")</f>
        <v/>
      </c>
      <c r="L69" s="9">
        <f>COUNTIF($F69:$F69,"N/A")</f>
        <v/>
      </c>
    </row>
    <row r="70">
      <c r="B70" s="1" t="inlineStr">
        <is>
          <t>점검결과</t>
        </is>
      </c>
      <c r="C70" s="9" t="inlineStr">
        <is>
          <t>취약항목 개수</t>
        </is>
      </c>
      <c r="D70" s="9" t="n"/>
      <c r="E70" s="9" t="n"/>
      <c r="F70" s="17">
        <f>COUNTIF(F6:F69,"취약")</f>
        <v/>
      </c>
    </row>
    <row r="71">
      <c r="B71" s="9" t="n"/>
      <c r="C71" s="9" t="inlineStr">
        <is>
          <t>보안 적용율 (양호항목 / 진단항목) %</t>
        </is>
      </c>
      <c r="D71" s="9" t="n"/>
      <c r="E71" s="9" t="n"/>
      <c r="F71" s="12">
        <f>(COUNTIF(F6:F69,"양호"))/(COUNTA(F6:F69)-COUNTIF(F6:F69,"N/A"))</f>
        <v/>
      </c>
    </row>
  </sheetData>
  <mergeCells count="18">
    <mergeCell ref="H49:H69"/>
    <mergeCell ref="B43:B44"/>
    <mergeCell ref="H43:H44"/>
    <mergeCell ref="C71:E71"/>
    <mergeCell ref="B70:B71"/>
    <mergeCell ref="C3:C5"/>
    <mergeCell ref="H20:H42"/>
    <mergeCell ref="B6:B19"/>
    <mergeCell ref="B2:L2"/>
    <mergeCell ref="E3:E5"/>
    <mergeCell ref="C70:E70"/>
    <mergeCell ref="H6:H19"/>
    <mergeCell ref="B20:B42"/>
    <mergeCell ref="D3:D5"/>
    <mergeCell ref="B3:B5"/>
    <mergeCell ref="B45:B48"/>
    <mergeCell ref="H45:H48"/>
    <mergeCell ref="B49:B6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9"/>
  <sheetViews>
    <sheetView showGridLines="0" workbookViewId="0">
      <pane ySplit="5" topLeftCell="A6" activePane="bottomLeft" state="frozen"/>
      <selection pane="bottomLeft" activeCell="A1" sqref="A1"/>
    </sheetView>
  </sheetViews>
  <sheetFormatPr baseColWidth="8" defaultRowHeight="15"/>
  <cols>
    <col width="2" customWidth="1" min="1" max="1"/>
    <col width="14" customWidth="1" min="2" max="2"/>
    <col width="6" customWidth="1" min="3" max="3"/>
    <col width="44" customWidth="1" min="4" max="4"/>
    <col width="90" customWidth="1" min="5" max="5"/>
    <col width="6" customWidth="1" min="6" max="6"/>
    <col width="50" customWidth="1" min="7" max="7"/>
    <col width="6" customWidth="1" min="8" max="8"/>
    <col width="50" customWidth="1" min="9" max="9"/>
  </cols>
  <sheetData>
    <row r="1"/>
    <row r="2" ht="26" customHeight="1">
      <c r="B2" s="13" t="inlineStr">
        <is>
          <t>Check방 취약점 진단 상세 진단결과 (64항목)</t>
        </is>
      </c>
    </row>
    <row r="3">
      <c r="B3" s="7" t="inlineStr">
        <is>
          <t>진단항목</t>
        </is>
      </c>
      <c r="C3" s="7" t="inlineStr">
        <is>
          <t>No.</t>
        </is>
      </c>
      <c r="D3" s="7" t="inlineStr">
        <is>
          <t>세부 진단항목</t>
        </is>
      </c>
      <c r="E3" s="7" t="inlineStr">
        <is>
          <t>진단기준</t>
        </is>
      </c>
      <c r="F3" s="7" t="inlineStr">
        <is>
          <t>최초진단결과</t>
        </is>
      </c>
      <c r="G3" s="7" t="inlineStr">
        <is>
          <t>최초 판단 근거</t>
        </is>
      </c>
      <c r="H3" s="7" t="inlineStr">
        <is>
          <t>최종진단결과</t>
        </is>
      </c>
      <c r="I3" s="7" t="inlineStr">
        <is>
          <t>최종 판단 근거</t>
        </is>
      </c>
    </row>
    <row r="4">
      <c r="B4" s="8" t="n"/>
      <c r="C4" s="8" t="n"/>
      <c r="D4" s="8" t="n"/>
      <c r="E4" s="8" t="n"/>
      <c r="F4" s="8" t="n"/>
      <c r="G4" s="8" t="n"/>
      <c r="H4" s="8" t="n"/>
      <c r="I4" s="8" t="n"/>
    </row>
    <row r="5">
      <c r="B5" s="8" t="n"/>
      <c r="C5" s="8" t="n"/>
      <c r="D5" s="8" t="n"/>
      <c r="E5" s="8" t="n"/>
      <c r="F5" s="8" t="n"/>
      <c r="G5" s="8" t="n"/>
      <c r="H5" s="8" t="n"/>
      <c r="I5" s="8" t="n"/>
    </row>
    <row r="6">
      <c r="B6" s="9" t="inlineStr">
        <is>
          <t>계정 관리</t>
        </is>
      </c>
      <c r="C6" s="9" t="inlineStr">
        <is>
          <t>W-01</t>
        </is>
      </c>
      <c r="D6" s="2" t="inlineStr">
        <is>
          <t>Administrator 계정 이름 변경 등 보안성 강화</t>
        </is>
      </c>
      <c r="E6" s="2" t="inlineStr">
        <is>
          <t>양호 : Administrator 기본 계정 이름을 변경하거나 강화된 비밀번호를 적용한 경우
취약 : Administrator 기본 계정 이름을 변경하지 않거나 단순 비밀번호를 적용한 경우</t>
        </is>
      </c>
      <c r="F6" s="18" t="inlineStr">
        <is>
          <t>취약</t>
        </is>
      </c>
      <c r="G6" s="2" t="inlineStr">
        <is>
          <t>- 판단기준의 '양호' 조건은 Administrator 기본 계정 이름을 변경한 경우이며, 점검내용의 '관리자(-500) 계정명: admin' 라인이 이에 대응한다.
- SID -500 계정명이 기본값 'Administrator'가 아닌 'admin'으로 변경되어 있어 기본 계정 이름 변경 요건을 충족한다.
- 판단기준의 '취약' 조건(기본 계정명 미변경)에 해당하는 'Administrator' 그대로 사용 흔적이 점검내용에 없다.</t>
        </is>
      </c>
      <c r="H6" s="14" t="inlineStr">
        <is>
          <t>양호</t>
        </is>
      </c>
      <c r="I6" s="2" t="inlineStr">
        <is>
          <t>- 판단기준은 'Administrator 기본 계정 이름을 변경'한 경우 양호로 규정함
- 점검내용의 관리자(-500) 계정명이 'mynameisad'로 기본값 'Administrator'가 아님을 확인함
- SID -500 계정명이 기본 이름에서 변경되었으므로 계정 보안성 강화 기준을 충족함</t>
        </is>
      </c>
    </row>
    <row r="7">
      <c r="B7" s="15" t="n"/>
      <c r="C7" s="9" t="inlineStr">
        <is>
          <t>W-02</t>
        </is>
      </c>
      <c r="D7" s="2" t="inlineStr">
        <is>
          <t>Guest 계정 비활성화</t>
        </is>
      </c>
      <c r="E7" s="2" t="inlineStr">
        <is>
          <t>양호 : Guest 계정이 비활성화되어 있는 경우
취약 : Guest 계정이 활성화되어 있는 경우</t>
        </is>
      </c>
      <c r="F7" s="14" t="inlineStr">
        <is>
          <t>양호</t>
        </is>
      </c>
      <c r="G7" s="2" t="inlineStr">
        <is>
          <t>- 판단기준상 Guest 계정이 비활성화되어 있으면 양호, 활성화되어 있으면 취약으로 판정함
- 점검내용 원시 라인 'Guest(Guest) 활성화 여부=False'에서 Guest 계정의 활성화 여부가 False(비활성화)로 확인됨
- 점검대상인 Guest(-501) 계정이 비활성화 상태이므로 양호로 판정함</t>
        </is>
      </c>
      <c r="H7" s="14" t="inlineStr">
        <is>
          <t>양호</t>
        </is>
      </c>
      <c r="I7" s="2" t="inlineStr">
        <is>
          <t>- 판단기준의 양호 조건은 'Guest 계정이 비활성화되어 있는 경우'이며, 점검내용 'Guest(Guest) 활성화 여부=False' 라인이 Guest 계정 비활성화 상태를 그대로 보여줌
- 활성화 여부 값이 False(비활성)이므로 취약 조건(Guest 계정 활성화)에 해당하지 않음
- 점검파일·로우데이터·판단기준만으로 비활성 사실이 결정론적으로 확인되어 별도 가이드 확인 불필요</t>
        </is>
      </c>
    </row>
    <row r="8">
      <c r="B8" s="15" t="n"/>
      <c r="C8" s="9" t="inlineStr">
        <is>
          <t>W-03</t>
        </is>
      </c>
      <c r="D8" s="2" t="inlineStr">
        <is>
          <t>불필요한 계정 제거</t>
        </is>
      </c>
      <c r="E8" s="2" t="inlineStr">
        <is>
          <t>양호 : 불필요한 계정이 존재하지 않는 경우
취약 : 불필요한 계정이 존재하는 경우</t>
        </is>
      </c>
      <c r="F8" s="16" t="inlineStr">
        <is>
          <t>N/A</t>
        </is>
      </c>
      <c r="G8" s="2" t="inlineStr">
        <is>
          <t>- 판단기준의 '불필요한 계정이 존재하는 경우 취약'에 대응 — 점검내용의 활성 로컬 계정으로 'mynameisad', 'remoteadmin' 두 계정이 확인됨
- 두 계정 모두 Windows 표준 내장 계정(Administrator, Guest, DefaultAccount, WDAGUtilityAccount 등)에 해당하지 않는 비표준 명칭으로, 화이트리스트 차집합상 '의심' 항목임
- 'mynameisad'는 용도 불명의 임의 명칭 계정이고, 'remoteadmin'은 원격 관리용으로 추정되는 별도 관리자성 계정으로 업무상 필요성·승인 여부가 점검내용만으로 확인되지 않음 — 증적 부족 시 보수적으로 취약 판정
- 따라서 불필요(의심) 계정이 1개 이상 존재하므로 '취약'</t>
        </is>
      </c>
      <c r="H8" s="16" t="inlineStr">
        <is>
          <t>N/A</t>
        </is>
      </c>
      <c r="I8" s="2" t="inlineStr">
        <is>
          <t>- 판단기준의 '취약: 불필요한 계정이 존재하는 경우'와 대조 — 활성 로컬 계정으로 'mynameisad', 'remoteadmin' 두 개가 확인됨
- 두 계정 모두 Windows 표준 내장 계정(Administrator, Guest, DefaultAccount 등) 명명 패턴에 매칭되지 않는 비표준 사용자 정의 계정으로, 화이트리스트 차집합 상 '의심' 항목에 해당함
- 'remoteadmin'은 원격 관리용으로 추정되는 계정명이며 사용 주체·필요성이 점검내용만으로 식별되지 않아, 증적 부족 시 보수적으로 '취약' 판정 원칙에 따라 불필요한 계정으로 간주함
- 'mynameisad' 역시 용도가 불명확한 비표준 계정으로 정당한 사용 근거가 제시되지 않음</t>
        </is>
      </c>
    </row>
    <row r="9">
      <c r="B9" s="15" t="n"/>
      <c r="C9" s="9" t="inlineStr">
        <is>
          <t>W-04</t>
        </is>
      </c>
      <c r="D9" s="2" t="inlineStr">
        <is>
          <t>계정 잠금 임계값 설정</t>
        </is>
      </c>
      <c r="E9" s="2" t="inlineStr">
        <is>
          <t>양호 : 계정 잠금 임계값이 5 이하의 값으로 설정된 경우
취약 : 계정 잠금 임계값이 5 초과의 값으로 설정된 경우</t>
        </is>
      </c>
      <c r="F9" s="14" t="inlineStr">
        <is>
          <t>양호</t>
        </is>
      </c>
      <c r="G9" s="2" t="inlineStr">
        <is>
          <t>- 판단기준은 계정 잠금 임계값이 5 이하이면 양호, 5 초과이면 취약으로 규정함
- 점검내용(로우데이터)의 LockoutBadCount=5 라인에서 계정 잠금 임계값이 5로 설정되어 있음
- 설정값 5는 기준값 5 이하에 해당하므로 양호로 판정함</t>
        </is>
      </c>
      <c r="H9" s="14" t="inlineStr">
        <is>
          <t>양호</t>
        </is>
      </c>
      <c r="I9" s="2" t="inlineStr">
        <is>
          <t>- 판단기준은 계정 잠금 임계값이 5 이하이면 양호, 5 초과이면 취약으로 규정함
- 점검내용 원시 라인 'LockoutBadCount=5'는 계정 잠금 임계값이 5로 설정되어 있음을 의미함
- 설정값 5는 '5 이하'에 해당하므로 양호 기준을 충족함</t>
        </is>
      </c>
    </row>
    <row r="10">
      <c r="B10" s="15" t="n"/>
      <c r="C10" s="9" t="inlineStr">
        <is>
          <t>W-05</t>
        </is>
      </c>
      <c r="D10" s="2" t="inlineStr">
        <is>
          <t>해독 가능한 암호화를 사용하여 암호 저장 해제</t>
        </is>
      </c>
      <c r="E10" s="2" t="inlineStr">
        <is>
          <t>양호 : “해독 가능한 암호화를 사용하여 암호 저장” 정책이 “사용 안 함”으로 설정된 경우
취약 : “해독 가능한 암호화를 사용하여 암호 저장” 정책이 “사용”으로 설정된 경우</t>
        </is>
      </c>
      <c r="F10" s="14" t="inlineStr">
        <is>
          <t>양호</t>
        </is>
      </c>
      <c r="G10" s="2" t="inlineStr">
        <is>
          <t>- 판단기준의 양호 조건은 '해독 가능한 암호화를 사용하여 암호 저장' 정책이 '사용 안 함'으로 설정된 경우임
- 점검내용 원시 라인 'ClearTextPassword=0'에서 값이 0으로, 해당 정책이 '사용 안 함(비활성화)' 상태임을 의미함
- 값이 1(사용)일 경우 취약이나, 0(사용 안 함)이므로 양호로 판정함</t>
        </is>
      </c>
      <c r="H10" s="14" t="inlineStr">
        <is>
          <t>양호</t>
        </is>
      </c>
      <c r="I10" s="2" t="inlineStr">
        <is>
          <t>- 판단기준상 '해독 가능한 암호화를 사용하여 암호 저장' 정책이 '사용 안 함'으로 설정된 경우 양호로 판정함
- 점검내용 로우데이터의 'ClearTextPassword=0' 라인은 해당 정책이 비활성화('사용 안 함', 값 0)된 상태를 의미함
- 값이 1(사용)이 아닌 0이므로 해독 가능한 암호화로 암호를 저장하지 않아 기준을 충족함</t>
        </is>
      </c>
    </row>
    <row r="11">
      <c r="B11" s="15" t="n"/>
      <c r="C11" s="9" t="inlineStr">
        <is>
          <t>W-06</t>
        </is>
      </c>
      <c r="D11" s="2" t="inlineStr">
        <is>
          <t>관리자(Administrators) 그룹에 최소한의 사용자 포함</t>
        </is>
      </c>
      <c r="E11" s="2" t="inlineStr">
        <is>
          <t>양호 : Administrators 그룹의 구성원을 1명 이하로 유지하거나, 불필요한 관리자 계정이 존재하지 않 는 경우
취약 : Administrators 그룹에 불필요한 관리자 계정이 존재하는 경우</t>
        </is>
      </c>
      <c r="F11" s="14" t="inlineStr">
        <is>
          <t>양호</t>
        </is>
      </c>
      <c r="G11" s="2" t="inlineStr">
        <is>
          <t>- 판단기준의 '양호' 조건은 Administrators 그룹 구성원을 1명 이하로 유지하거나 불필요한 관리자 계정이 존재하지 않는 경우임
- 점검내용(로우데이터) '구성원: mynameisad' 라인을 보면 Administrators 그룹의 구성원이 1명(mynameisad)으로 확인됨
- 구성원 수가 1명으로 '1명 이하 유지' 조건을 충족하므로 양호로 판정함
- 다만 'mynameisad'는 기본 Administrator 계정명이 아닌 비표준 계정명으로, 정당하게 위임된 관리자 계정인지(불필요/미승인 계정이 아닌지)는 운영상 확인이 권장됨</t>
        </is>
      </c>
      <c r="H11" s="14" t="inlineStr">
        <is>
          <t>양호</t>
        </is>
      </c>
      <c r="I11" s="2" t="inlineStr">
        <is>
          <t>- 판단기준의 '양호: Administrators 그룹의 구성원을 1명 이하로 유지' 조건과 점검내용의 '구성원: mynameisad' 라인이 대응함 — 구성원이 1명으로 확인됨
- Administrators 그룹에 등록된 계정이 단일 계정(mynameisad)뿐이며, 그 외 불필요하게 추가된 다중 관리자 계정이 존재하지 않음
- 점검내용상 표준 관리자 계정 외 비표준·의심 계정(예: 게스트성 계정의 관리자 권한 부여, 알 수 없는 추가 관리자 계정)이 나열되지 않아 이상치 없음</t>
        </is>
      </c>
    </row>
    <row r="12">
      <c r="B12" s="15" t="n"/>
      <c r="C12" s="9" t="inlineStr">
        <is>
          <t>W-07</t>
        </is>
      </c>
      <c r="D12" s="2" t="inlineStr">
        <is>
          <t>Everyone 사용 권한을 익명 사용자에게 적용 해제</t>
        </is>
      </c>
      <c r="E12" s="2" t="inlineStr">
        <is>
          <t>양호 : “Everyone 사용 권한을 익명 사용자에게 적용” 정책이 “사용 안 함”으로 되어 있는 경우
취약 : “Everyone 사용 권한을 익명 사용자에게 적용” 정책이 “사용”으로 되어 있는 경우</t>
        </is>
      </c>
      <c r="F12" s="14" t="inlineStr">
        <is>
          <t>양호</t>
        </is>
      </c>
      <c r="G12" s="2" t="inlineStr">
        <is>
          <t>- 판단기준상 '사용 안 함(0)'이면 양호, '사용(1)'이면 취약
- 점검내용의 원시 라인 '값=0'은 EveryoneIncludesAnonymous 정책이 '사용 안 함'으로 설정되어 있음을 의미
- 익명 사용자에게 Everyone 권한이 적용되지 않으므로 판단기준의 양호 조건에 부합</t>
        </is>
      </c>
      <c r="H12" s="14" t="inlineStr">
        <is>
          <t>양호</t>
        </is>
      </c>
      <c r="I12" s="2" t="inlineStr">
        <is>
          <t>- 판단기준은 'Everyone 사용 권한을 익명 사용자에게 적용' 정책(Lsa\EveryoneIncludesAnonymous)이 '사용 안 함'일 때 양호로 본다.
- 점검내용 로우데이터가 '값=0'으로, 레지스트리 값 0은 해당 정책이 '사용 안 함(비활성)' 상태임을 의미한다.
- 익명 사용자에게 Everyone 권한이 적용되지 않으므로 판단기준의 양호 조건에 부합한다.</t>
        </is>
      </c>
    </row>
    <row r="13">
      <c r="B13" s="15" t="n"/>
      <c r="C13" s="9" t="inlineStr">
        <is>
          <t>W-08</t>
        </is>
      </c>
      <c r="D13" s="2" t="inlineStr">
        <is>
          <t>계정 잠금 기간 설정</t>
        </is>
      </c>
      <c r="E13" s="2" t="inlineStr">
        <is>
          <t>양호 : “계정 잠금 기간” 및 “계정 잠금 기간 원래대로 설정 기간”이 60분 이상으로 설정된 경우
취약 : “계정 잠금 기간” 및 “잠금 기간 원래대로 설정 기간”이 설정되지 않거나 60분 미만으로 설정된 경우</t>
        </is>
      </c>
      <c r="F13" s="14" t="inlineStr">
        <is>
          <t>양호</t>
        </is>
      </c>
      <c r="G13" s="2" t="inlineStr">
        <is>
          <t>- 판단기준의 양호 조건은 '계정 잠금 기간'이 60분 이상으로 설정된 경우임
- 점검내용 로우데이터의 'LockoutDuration=70 분' 라인이 잠금 기간 70분으로, 기준값 60분 이상을 충족함
- 설정되지 않거나 60분 미만인 취약 조건에 해당하지 않으므로 양호로 판정함</t>
        </is>
      </c>
      <c r="H13" s="14" t="inlineStr">
        <is>
          <t>양호</t>
        </is>
      </c>
      <c r="I13" s="2" t="inlineStr">
        <is>
          <t>- 판단기준은 “계정 잠금 기간”이 60분 이상으로 설정된 경우 양호로 규정함
- 점검내용의 원시 라인 'LockoutDuration=70 분'은 잠금 기간이 70분으로 설정되어 있음을 의미함
- 70분은 기준값 60분 이상을 충족하므로 양호로 판정함</t>
        </is>
      </c>
    </row>
    <row r="14">
      <c r="B14" s="15" t="n"/>
      <c r="C14" s="9" t="inlineStr">
        <is>
          <t>W-09</t>
        </is>
      </c>
      <c r="D14" s="2" t="inlineStr">
        <is>
          <t>비밀번호 관리정책 설정</t>
        </is>
      </c>
      <c r="E14" s="2" t="inlineStr">
        <is>
          <t>양호 : 계정 비밀번호 관리 정책이 모두 적용된 경우
취약 : 계정 비밀번호 관리 정책이 모두 적용되어 있지 않은 경우</t>
        </is>
      </c>
      <c r="F14" s="14" t="inlineStr">
        <is>
          <t>양호</t>
        </is>
      </c>
      <c r="G14" s="2" t="inlineStr">
        <is>
          <t>- 판단기준의 '길이&gt;=8' ↔ 점검내용 MinLen=8 으로 충족함
- 판단기준의 '복잡도=1' ↔ 점검내용 Complexity=1 으로 충족함
- 판단기준의 '최대 사용기간&lt;=90' ↔ 점검내용 MaxAge=90 으로 충족함
- 판단기준의 '최소 사용기간&gt;=1' ↔ 점검내용 MinAge=1 으로 충족함
- 판단기준의 '비밀번호 기억&gt;=4' ↔ 점검내용 History=4 으로 충족함
- 5개 항목 모두 기준을 만족하여 계정 비밀번호 관리 정책이 모두 적용된 상태이므로 양호로 판정함</t>
        </is>
      </c>
      <c r="H14" s="14" t="inlineStr">
        <is>
          <t>양호</t>
        </is>
      </c>
      <c r="I14" s="2" t="inlineStr">
        <is>
          <t>- 길이 기준(&gt;=8) ↔ 점검내용 MinLen=8 → 충족
- 복잡도 기준(=1) ↔ 점검내용 Complexity=1 → 충족
- 최대 사용기간 기준(&lt;=90) ↔ 점검내용 MaxAge=90 → 충족
- 최소 사용기간 기준(&gt;=1) ↔ 점검내용 MinAge=1 → 충족
- 기억(history) 기준(&gt;=4) ↔ 점검내용 History=4 → 충족
- 5개 비밀번호 관리 정책이 모두 기준을 만족하므로 양호로 판정</t>
        </is>
      </c>
    </row>
    <row r="15">
      <c r="B15" s="15" t="n"/>
      <c r="C15" s="9" t="inlineStr">
        <is>
          <t>W-10</t>
        </is>
      </c>
      <c r="D15" s="2" t="inlineStr">
        <is>
          <t>마지막 사용자 이름 표시 안 함</t>
        </is>
      </c>
      <c r="E15" s="2" t="inlineStr">
        <is>
          <t>양호 : “마지막 사용자 이름 표시 안 함”이 “사용”으로 설정된 경우
취약 : “마지막 사용자 이름 표시 안 함”이 “사용 안 함”으로 설정된 경우</t>
        </is>
      </c>
      <c r="F15" s="14" t="inlineStr">
        <is>
          <t>양호</t>
        </is>
      </c>
      <c r="G15" s="2" t="inlineStr">
        <is>
          <t>- 판단기준: '마지막 사용자 이름 표시 안 함'이 '사용'으로 설정(레지스트리 값=1)된 경우 양호
- 점검내용: 점검파일 Policies\System\DontDisplayLastUserName 의 값=1 로 확인됨 → '사용' 상태에 해당
- 값이 0(사용 안 함)이 아닌 1 이므로 마지막 로그온 사용자 이름이 로그온 화면에 표시되지 않도록 설정되어 양호로 판정</t>
        </is>
      </c>
      <c r="H15" s="14" t="inlineStr">
        <is>
          <t>양호</t>
        </is>
      </c>
      <c r="I15" s="2" t="inlineStr">
        <is>
          <t>- 판단기준상 '마지막 사용자 이름 표시 안 함'이 '사용'(레지스트리 값=1)으로 설정된 경우 양호이다.
- 점검내용(로우데이터)의 'DontDisplayLastUserName 값=1'은 정책이 '사용'으로 설정되었음을 의미하므로 양호 조건에 정확히 대응한다.
- 값이 0(사용 안 함)이 아니므로 취약 조건에는 해당하지 않는다.</t>
        </is>
      </c>
    </row>
    <row r="16">
      <c r="B16" s="15" t="n"/>
      <c r="C16" s="9" t="inlineStr">
        <is>
          <t>W-11</t>
        </is>
      </c>
      <c r="D16" s="2" t="inlineStr">
        <is>
          <t>로컬 로그온 허용 제한</t>
        </is>
      </c>
      <c r="E16" s="2" t="inlineStr">
        <is>
          <t>양호 : 로컬 로그온 허용 정책에 Administrators, IUSR_ 만 존재하는 경우
취약 : 로컬 로그온 허용 정책에 Administrators, IUSR_ 외 다른 계정 및 그룹이 존재하는 경우</t>
        </is>
      </c>
      <c r="F16" s="14" t="inlineStr">
        <is>
          <t>양호</t>
        </is>
      </c>
      <c r="G16" s="2" t="inlineStr">
        <is>
          <t>- 판단기준의 '양호' 조건은 로컬 로그온 허용(SeInteractiveLogonRight) 정책에 Administrators, IUSR_ 만 존재하는 경우임
- 점검내용의 SeInteractiveLogonRight 구성원에는 'BUILTIN\Administrators [*S-1-5-32-544]' 단 하나만 등록되어 있음
- Administrators 외 다른 계정이나 그룹(Users, Guest, Everyone 등)이 존재하지 않으며, 허용 범위를 초과하는 이상치 구성원이 발견되지 않음
- 따라서 기준에 부합하여 '양호'로 판정함</t>
        </is>
      </c>
      <c r="H16" s="14" t="inlineStr">
        <is>
          <t>양호</t>
        </is>
      </c>
      <c r="I16" s="2" t="inlineStr">
        <is>
          <t>- 판단기준의 양호 조건은 SeInteractiveLogonRight(로컬 로그온 허용) 구성원이 Administrators, IUSR_ 만 존재하는 경우임
- 점검내용의 SeInteractiveLogonRight 구성원에는 'BUILTIN\Administrators [*S-1-5-32-544]' 단 하나만 등록되어 있음
- Administrators 외 추가 계정·그룹(Users, Everyone, Guests 등)이나 비표준 의심 계정이 존재하지 않으므로 양호 조건(허용 범위의 부분집합)을 충족함</t>
        </is>
      </c>
    </row>
    <row r="17">
      <c r="B17" s="15" t="n"/>
      <c r="C17" s="9" t="inlineStr">
        <is>
          <t>W-12</t>
        </is>
      </c>
      <c r="D17" s="2" t="inlineStr">
        <is>
          <t>익명 SID/이름 변환 허용 해제</t>
        </is>
      </c>
      <c r="E17" s="2" t="inlineStr">
        <is>
          <t>양호 : “익명 SID/이름 변환 허용” 정책이 “사용 안 함”으로 설정된 경우
취약 : “익명 SID/이름 변환 허용” 정책이 “사용”으로 설정된 경우</t>
        </is>
      </c>
      <c r="F17" s="18" t="inlineStr">
        <is>
          <t>취약</t>
        </is>
      </c>
      <c r="G17" s="2" t="inlineStr">
        <is>
          <t>- 판단기준: 'LSAAnonymousNameLookup' 값이 0(사용 안 함)이면 양호, 1(사용)이면 취약임
- 점검내용: 로우데이터에 '값=1'로 명시되어 있어 '익명 SID/이름 변환 허용' 정책이 '사용'으로 설정된 상태임
- 익명 사용자가 SID를 통해 계정 이름을 열거할 수 있어 정보 노출 위험이 있으므로 '취약'으로 판정함</t>
        </is>
      </c>
      <c r="H17" s="14" t="inlineStr">
        <is>
          <t>양호</t>
        </is>
      </c>
      <c r="I17" s="2" t="inlineStr">
        <is>
          <t>- 판단기준상 '익명 SID/이름 변환 허용' 정책이 '사용 안 함'으로 설정된 경우 양호이며, 레지스트리 값 LSAAnonymousNameLookup이 0이면 해당 정책이 '사용 안 함' 상태임
- 점검내용(로우데이터)의 '값=0'이 점검파일 LSAAnonymousNameLookup의 값으로, 익명 SID/이름 변환이 허용되지 않도록(사용 안 함) 설정되어 있음
- 따라서 익명 사용자가 SID/이름 변환을 수행할 수 없으므로 기준상 양호로 판정</t>
        </is>
      </c>
    </row>
    <row r="18">
      <c r="B18" s="15" t="n"/>
      <c r="C18" s="9" t="inlineStr">
        <is>
          <t>W-13</t>
        </is>
      </c>
      <c r="D18" s="2" t="inlineStr">
        <is>
          <t>콘솔 로그온 시 로컬 계정 빈 암호 사용 제한</t>
        </is>
      </c>
      <c r="E18" s="2" t="inlineStr">
        <is>
          <t>양호 : “콘솔 로그온 시 로컬 계정에서 빈 암호 사용 제한” 정책이 “사용”인 경우
취약 : “콘솔 로그온 시 로컬 계정에서 빈 암호 사용 제한” 정책이 “사용 안 함”인 경우</t>
        </is>
      </c>
      <c r="F18" s="14" t="inlineStr">
        <is>
          <t>양호</t>
        </is>
      </c>
      <c r="G18" s="2" t="inlineStr">
        <is>
          <t>- 판단기준의 양호 조건은 'LimitBlankPasswordUse' 정책이 '사용(활성화)'인 경우이며, 점검내용 로우데이터는 값=1 로 정책이 '사용'으로 설정되어 있음
- 레지스트리 값 1 은 콘솔 로그온 시 로컬 계정 빈 암호 사용을 제한(사용)하는 상태로, 빈 암호 계정의 원격/네트워크 인증을 차단하므로 양호
- 취약 조건인 '사용 안 함'(값=0)에 해당하지 않으므로 취약 아님</t>
        </is>
      </c>
      <c r="H18" s="14" t="inlineStr">
        <is>
          <t>양호</t>
        </is>
      </c>
      <c r="I18" s="2" t="inlineStr">
        <is>
          <t>- 판단기준의 양호 조건은 'Lsa\LimitBlankPasswordUse' 정책이 '사용'(레지스트리 값 1)인 경우임
- 점검내용 로우데이터의 '값=1'은 빈 암호 사용 제한 정책이 '사용'으로 설정되어 있음을 의미함
- 따라서 콘솔 로그온 시 로컬 계정의 빈 암호 사용이 제한되고 있으므로 양호로 판정함</t>
        </is>
      </c>
    </row>
    <row r="19">
      <c r="B19" s="15" t="n"/>
      <c r="C19" s="9" t="inlineStr">
        <is>
          <t>W-14</t>
        </is>
      </c>
      <c r="D19" s="2" t="inlineStr">
        <is>
          <t>원격터미널 접속 가능 사용자 그룹 제한</t>
        </is>
      </c>
      <c r="E19" s="2" t="inlineStr">
        <is>
          <t>양호 : (관리자 계정을 제외한) 원격 접속이 가능한 계정을 생성하여 타 사용자의 원격 접속을 제한하고, 원격 접속 사용자 그룹에 불필요한 계정이 등록되어 있지 않은 경우
취약 : (관리자 계정을 제외한) 원격 접속이 가능한 별도의 계정이 존재하지 않는 경우</t>
        </is>
      </c>
      <c r="F19" s="14" t="inlineStr">
        <is>
          <t>양호</t>
        </is>
      </c>
      <c r="G19" s="2" t="inlineStr">
        <is>
          <t>- 판단기준의 '양호' 조건은 관리자 계정을 제외한 원격 접속 전용 별도 계정을 생성하여 타 사용자의 원격 접속을 제한하는 경우인데, 점검내용상 Remote Desktop Users 그룹(S-1-5-32-555) 구성원이 'EC2AMAZ-305SBHT\remoteadmin [User]' 단일 계정으로 등록되어 있어 원격 접속 전용 별도 계정이 존재함
- 판단기준의 '취약' 조건은 관리자 계정을 제외한 원격 접속 가능한 별도 계정이 존재하지 않는 경우인데, 본 항목은 Administrators 등 관리자 그룹이 아닌 일반 User 계정(remoteadmin) 1개만 등록되어 이에 해당하지 않음
- 이상치 점검 관점에서 그룹 구성원이 remoteadmin 1개뿐이며, Everyone·Domain Users 등 광범위 그룹이나 불필요한 다수 계정이 등록되어 있지 않아 불필요한 계정 등록으로 인한 취약 요소가 발견되지 않음</t>
        </is>
      </c>
      <c r="H19" s="14" t="inlineStr">
        <is>
          <t>양호</t>
        </is>
      </c>
      <c r="I19" s="2" t="inlineStr">
        <is>
          <t>- 판단기준의 '양호'는 (관리자 계정을 제외한) 원격 접속 전용 계정을 별도로 생성하여 운영하고, 원격 접속 사용자 그룹에 불필요한 계정이 없는 경우임
- 점검내용(로우데이터)상 Remote Desktop Users 그룹(SID S-1-5-32-555) 구성원 수는 1명이며, 'EC2AMAZ-305SBHT\remoteadmin [User]' 계정만 등록되어 있음
- remoteadmin 은 원격 접속 용도로 별도 생성된 일반 사용자 계정으로 판단되며, Administrator 등 기본 관리자 계정이나 불필요한 다수 계정이 그룹에 포함되어 있지 않음 (이상치/의심 계정 없음)
- 따라서 관리자 계정을 제외한 원격 접속 전용 계정이 존재하고 그룹에 불필요한 계정이 등록되어 있지 않으므로 '양호'로 판정</t>
        </is>
      </c>
    </row>
    <row r="20">
      <c r="B20" s="9" t="inlineStr">
        <is>
          <t>서비스 관리</t>
        </is>
      </c>
      <c r="C20" s="9" t="inlineStr">
        <is>
          <t>W-15</t>
        </is>
      </c>
      <c r="D20" s="2" t="inlineStr">
        <is>
          <t>사용자 개인키 사용 시 암호 입력</t>
        </is>
      </c>
      <c r="E20" s="2" t="inlineStr">
        <is>
          <t>양호 : 사용자 개인 키를 사용할 때마다 암호 입력을 받는 경우
취약 : 사용자 개인 키를 사용할 때마다 암호 입력을 받지 않는 경우</t>
        </is>
      </c>
      <c r="F20" s="14" t="inlineStr">
        <is>
          <t>양호</t>
        </is>
      </c>
      <c r="G20" s="2" t="inlineStr">
        <is>
          <t>- 판단기준의 '양호'는 사용자 개인 키를 사용할 때마다 암호 입력을 받는 경우인데, 점검내용의 ForceKeyProtection=2 가 이에 해당함
- 점검파일 Cryptography\ForceKeyProtection 값이 2 로 설정되어 있어, 개인 키 사용 시마다 강제로 암호 입력을 요구함(값 2 = 키 사용 시마다 암호 입력 강제)
- 암호 입력을 받지 않는 취약 조건(값 0: 보호 안 함, 값 1: 최초 사용 시에만 입력)에 해당하지 않으므로 양호로 판정</t>
        </is>
      </c>
      <c r="H20" s="14" t="inlineStr">
        <is>
          <t>양호</t>
        </is>
      </c>
      <c r="I20" s="2" t="inlineStr">
        <is>
          <t>- 판단기준의 '양호' 조건은 사용자 개인 키를 사용할 때마다 암호 입력을 받는 경우임 (Cryptography\ForceKeyProtection 값으로 확인)
- 점검내용(로우데이터)이 ForceKeyProtection=2 로, 이는 개인 키를 사용할 때마다 암호(패스워드) 입력을 강제하는 설정값임
- 값이 0(보호 안 함) 또는 1(최초 1회만 입력)이 아닌 2(매 사용 시 입력)이므로 매번 암호 입력을 받는 양호한 상태로 판정됨</t>
        </is>
      </c>
    </row>
    <row r="21">
      <c r="B21" s="15" t="n"/>
      <c r="C21" s="9" t="inlineStr">
        <is>
          <t>W-16</t>
        </is>
      </c>
      <c r="D21" s="2" t="inlineStr">
        <is>
          <t>공유 권한 및 사용자 그룹 설정</t>
        </is>
      </c>
      <c r="E21" s="2" t="inlineStr">
        <is>
          <t>양호 : 일반 공유 디렉터리가 없거나 공유 디렉터리 접근 권한에 Everyone 권한이 없는 경우
취약 : 일반 공유 디렉터리의 접근 권한에 Everyone 권한이 있는 경우</t>
        </is>
      </c>
      <c r="F21" s="14" t="inlineStr">
        <is>
          <t>양호</t>
        </is>
      </c>
      <c r="G21" s="2" t="inlineStr">
        <is>
          <t>- 판단기준상 '일반 공유 디렉터리가 없거나 공유 디렉터리 접근 권한에 Everyone 권한이 없는 경우'를 양호로 본다.
- 점검내용(로우데이터)에 '일반 공유 없음'으로 명시되어 있어, 진단대상에 일반 공유 디렉터리가 존재하지 않는다.
- 따라서 Everyone 권한이 부여된 일반 공유 디렉터리 자체가 존재할 수 없으므로 양호로 판정한다.</t>
        </is>
      </c>
      <c r="H21" s="14" t="inlineStr">
        <is>
          <t>양호</t>
        </is>
      </c>
      <c r="I21" s="2" t="inlineStr">
        <is>
          <t>- 판단기준의 양호 조건은 '일반 공유 디렉터리가 없거나 공유 디렉터리 접근 권한에 Everyone 권한이 없는 경우'임
- 점검내용(로우데이터)에 '일반 공유 없음'으로 명시되어, 일반 공유 디렉터리가 존재하지 않음을 확인함
- 일반 공유 디렉터리 자체가 없으므로 Everyone 권한이 부여된 일반 공유가 존재할 수 없어 양호로 판정함</t>
        </is>
      </c>
    </row>
    <row r="22">
      <c r="B22" s="15" t="n"/>
      <c r="C22" s="9" t="inlineStr">
        <is>
          <t>W-17</t>
        </is>
      </c>
      <c r="D22" s="2" t="inlineStr">
        <is>
          <t>하드디스크 기본 공유 제거</t>
        </is>
      </c>
      <c r="E22" s="2" t="inlineStr">
        <is>
          <t>양호 : 레지스트리의 AutoShareServer (WinNT: AutoShareWks)가 0이며 기본 공유가 존재하지 않 는 경우
취약 : 레지스트리의 AutoShareServer (WinNT: AutoShareWks)가 1이거나 기본 공유가 존재하는 경우</t>
        </is>
      </c>
      <c r="F22" s="14" t="inlineStr">
        <is>
          <t>양호</t>
        </is>
      </c>
      <c r="G22" s="2" t="inlineStr">
        <is>
          <t>- 판단기준의 양호 조건(AutoShareServer 값이 0)과 점검내용의 'AutoShareServer=0' 라인이 일치함
- 판단기준의 양호 조건(기본 공유가 존재하지 않음)과 점검내용의 '기본공유: (없음)' 라인이 일치함
- 취약 조건(값이 1이거나 기본 공유 존재)에 해당하는 이상치가 발견되지 않음</t>
        </is>
      </c>
      <c r="H22" s="14" t="inlineStr">
        <is>
          <t>양호</t>
        </is>
      </c>
      <c r="I22" s="2" t="inlineStr">
        <is>
          <t>- 판단기준의 양호 조건은 'AutoShareServer(WinNT: AutoShareWks)가 0이며 기본 공유가 존재하지 않는 경우'임
- 점검내용 라인 'AutoShareServer=0'으로 레지스트리 값이 0임을 확인 — 양호 조건 충족
- 점검내용 라인 '기본공유: (없음)'으로 기본 공유(C$, ADMIN$ 등)가 존재하지 않음을 확인 — 양호 조건 충족
- 취약 조건(값이 1이거나 기본 공유 존재)에 해당하는 라인이 없으므로 양호로 판정</t>
        </is>
      </c>
    </row>
    <row r="23">
      <c r="B23" s="15" t="n"/>
      <c r="C23" s="9" t="inlineStr">
        <is>
          <t>W-18</t>
        </is>
      </c>
      <c r="D23" s="2" t="inlineStr">
        <is>
          <t>불필요한 서비스 제거</t>
        </is>
      </c>
      <c r="E23" s="2" t="inlineStr">
        <is>
          <t>양호 : 일반적으로 불필요한 서비스(아래 목록 참조)가 중지된 경우
취약 : 일반적으로 불필요한 서비스(아래 목록 참조)가 구동 중인 경우</t>
        </is>
      </c>
      <c r="F23" s="14" t="inlineStr">
        <is>
          <t>양호</t>
        </is>
      </c>
      <c r="G23" s="2" t="inlineStr">
        <is>
          <t>- 판단기준상 일반적으로 불필요한 서비스(Alerter, Messenger, Telnet, TlntSvr, Simptcp, SNMP, RemoteRegistry, SharedAccess, RemoteAccess, SSDPSRV, upnphost, WebClient, seclogon)가 중지 시 양호이며, 구동 중이면 취약이다.
- 점검내용에서 Alerter/Messenger/Telnet/TlntSvr/Simptcp/SNMP/WebClient은 '(서비스 없음)'으로 시스템에 존재하지 않아 구동 위험이 없다.
- RemoteRegistry, SharedAccess, RemoteAccess, SSDPSRV, upnphost, seclogon은 모두 'Stopped' 상태로 중지되어 있다.
- 불필요한 서비스 목록 중 'Running/Started' 상태로 구동 중인 항목이 하나도 없으므로 양호로 판정한다.</t>
        </is>
      </c>
      <c r="H23" s="14" t="inlineStr">
        <is>
          <t>양호</t>
        </is>
      </c>
      <c r="I23" s="2" t="inlineStr">
        <is>
          <t>- 판단기준은 일반적으로 불필요한 서비스가 '구동 중'이면 취약, '중지'면 양호로 판정함
- Alerter, Messenger, Telnet, TlntSvr, Simptcp, SNMP, WebClient 는 '(서비스 없음)'으로 설치되어 있지 않아 구동 위험이 없음
- RemoteRegistry, SharedAccess, RemoteAccess, SSDPSRV, upnphost, seclogon 는 모두 'Stopped'(중지) 상태로 구동 중인 항목이 없음
- 점검된 불필요 서비스 목록 전체에서 'Running/구동 중' 상태인 이상치 항목이 하나도 발견되지 않음</t>
        </is>
      </c>
    </row>
    <row r="24">
      <c r="B24" s="15" t="n"/>
      <c r="C24" s="9" t="inlineStr">
        <is>
          <t>W-19</t>
        </is>
      </c>
      <c r="D24" s="2" t="inlineStr">
        <is>
          <t>불필요한 IIS 서비스 구동 점검</t>
        </is>
      </c>
      <c r="E24" s="2" t="inlineStr">
        <is>
          <t>양호 : IIS 서비스를 사용하지 않는 경우 또는 필요에 의해 IIS 서비스를 사용하는 경우
취약 : IIS 서비스를 불필요하게 사용하는 경우</t>
        </is>
      </c>
      <c r="F24" s="14" t="inlineStr">
        <is>
          <t>양호</t>
        </is>
      </c>
      <c r="G24" s="2" t="inlineStr">
        <is>
          <t>- 판단기준상 'IIS 서비스를 사용하지 않는 경우'는 양호에 해당함
- 점검내용(로우데이터)에 'IIS 미설치'로 명시되어 있어 W3SVC(IIS) 서비스 자체가 시스템에 설치되지 않은 상태임
- IIS가 설치되지 않았으므로 불필요한 IIS 서비스 구동 가능성이 없어 양호로 판정함</t>
        </is>
      </c>
      <c r="H24" s="14" t="inlineStr">
        <is>
          <t>양호</t>
        </is>
      </c>
      <c r="I24" s="2" t="inlineStr">
        <is>
          <t>- 판단기준상 'IIS 서비스를 사용하지 않는 경우'는 양호로 판정함
- 점검내용(로우데이터)에 'IIS 미설치'로 명시되어 있어 IIS(W3SVC) 서비스 자체가 설치·구동되지 않음
- IIS가 설치되어 있지 않으므로 불필요한 IIS 서비스 구동에 해당하지 않아 양호로 판정함</t>
        </is>
      </c>
    </row>
    <row r="25">
      <c r="B25" s="15" t="n"/>
      <c r="C25" s="9" t="inlineStr">
        <is>
          <t>W-20</t>
        </is>
      </c>
      <c r="D25" s="2" t="inlineStr">
        <is>
          <t>NetBIOS 바인딩 서비스 구동 점검</t>
        </is>
      </c>
      <c r="E25" s="2" t="inlineStr">
        <is>
          <t>양호 : TCP/IP와 NetBIOS 간의 바인딩이 제거되어 있는 경우
취약 : TCP/IP와 NetBIOS 간의 바인딩이 제거되어 있지 않은 경우</t>
        </is>
      </c>
      <c r="F25" s="14" t="inlineStr">
        <is>
          <t>양호</t>
        </is>
      </c>
      <c r="G25" s="2" t="inlineStr">
        <is>
          <t>- 판단기준의 '양호: TCP/IP와 NetBIOS 간의 바인딩이 제거되어 있는 경우'에 해당한다.
- 점검내용 라인 'TcpipNetbiosOptions=2(비활성)'은 NetBIOS over TCP/IP가 비활성(사용 안 함) 상태로 설정되어 TCP/IP와 NetBIOS 간 바인딩이 제거되었음을 의미한다.
- 값이 0(기본/DHCP) 또는 1(활성)이 아닌 2(비활성)이므로 바인딩이 제거되지 않은 '취약' 조건에 해당하지 않는다.</t>
        </is>
      </c>
      <c r="H25" s="14" t="inlineStr">
        <is>
          <t>양호</t>
        </is>
      </c>
      <c r="I25" s="2" t="inlineStr">
        <is>
          <t>- 판단기준의 '양호' 조건은 TCP/IP와 NetBIOS 간의 바인딩이 제거되어 있는 경우임
- 점검내용 로우데이터에 'TcpipNetbiosOptions=2(비활성)'로 표기되어 있으며, 값 2는 'NetBIOS over TCP/IP 사용 안 함(비활성)'을 의미함
- 따라서 TCP/IP와 NetBIOS 간 바인딩이 제거된 상태이므로 양호로 판정함
- 이상치 없음: 값이 2 외의 다른 값(0=DHCP 기본, 1=활성)이 아니므로 활성화된 바인딩이 확인되지 않음</t>
        </is>
      </c>
    </row>
    <row r="26">
      <c r="B26" s="15" t="n"/>
      <c r="C26" s="9" t="inlineStr">
        <is>
          <t>W-21</t>
        </is>
      </c>
      <c r="D26" s="2" t="inlineStr">
        <is>
          <t>암호화되지 않는 FTP 서비스 비활성화</t>
        </is>
      </c>
      <c r="E26" s="2" t="inlineStr">
        <is>
          <t>양호 : FTP 서비스를 사용하지 않는 경우 또는 Secure FTP 서비스를 사용하는 경우
취약 : 암호화되지 않는 FTP 서비스를 사용하는 경우</t>
        </is>
      </c>
      <c r="F26" s="14" t="inlineStr">
        <is>
          <t>양호</t>
        </is>
      </c>
      <c r="G26" s="2" t="inlineStr">
        <is>
          <t>- 판단기준상 'FTP 서비스를 사용하지 않는 경우' 양호로 규정됨
- 점검내용(로우데이터)에 'FTP 미구동'으로 표기되어 FTP 서비스가 구동되지 않음이 확인됨
- 암호화되지 않는 FTP 서비스가 동작하지 않으므로 취약 조건에 해당하지 않음</t>
        </is>
      </c>
      <c r="H26" s="14" t="inlineStr">
        <is>
          <t>양호</t>
        </is>
      </c>
      <c r="I26" s="2" t="inlineStr">
        <is>
          <t>- 판단기준의 '양호: FTP 서비스를 사용하지 않는 경우'에 해당함
- 점검내용(로우데이터)에 'FTP 미구동'으로 명시되어 FTP 서비스가 구동되지 않음을 확인함
- 암호화되지 않는 FTP 서비스가 동작하지 않으므로 취약 조건(암호화되지 않는 FTP 사용)에 해당하지 않음</t>
        </is>
      </c>
    </row>
    <row r="27">
      <c r="B27" s="15" t="n"/>
      <c r="C27" s="9" t="inlineStr">
        <is>
          <t>W-22</t>
        </is>
      </c>
      <c r="D27" s="2" t="inlineStr">
        <is>
          <t>FTP 디렉터리 접근권한 설정</t>
        </is>
      </c>
      <c r="E27" s="2" t="inlineStr">
        <is>
          <t>양호 : FTP 홈 디렉터리에 Everyone 권한이 없는 경우
취약 : FTP 홈 디렉터리에 Everyone 권한이 있는 경우</t>
        </is>
      </c>
      <c r="F27" s="16" t="inlineStr">
        <is>
          <t>N/A</t>
        </is>
      </c>
      <c r="G27" s="2" t="inlineStr">
        <is>
          <t>- 판단기준은 'FTP 홈 디렉터리'에 Everyone 권한 존재 여부로 양호/취약을 판정하나, 점검내용 원시 라인이 'FTP 미구동'으로 FTP 서비스 자체가 구동되지 않음
- FTP 서비스가 동작하지 않으므로 FTP 홈 디렉터리 접근권한 점검 자체가 해당되지 않는 '점검 대상 아님'에 해당하여 N/A로 판정
- 의심 항목(비정상 Everyone 권한 등) 확인 대상이 존재하지 않음</t>
        </is>
      </c>
      <c r="H27" s="16" t="inlineStr">
        <is>
          <t>N/A</t>
        </is>
      </c>
      <c r="I27" s="2" t="inlineStr">
        <is>
          <t>- 판단기준은 FTP 홈 디렉터리의 Everyone 권한 유무를 점검하는 항목임
- 점검내용(로우데이터)에 'FTP 미구동'으로 명시되어 FTP 서비스 자체가 동작하지 않음
- FTP 서비스가 구동되지 않아 점검 대상(FTP 홈 디렉터리)이 존재하지 않으므로 해당 항목은 점검 대상이 아님(N/A)</t>
        </is>
      </c>
    </row>
    <row r="28">
      <c r="B28" s="15" t="n"/>
      <c r="C28" s="9" t="inlineStr">
        <is>
          <t>W-23</t>
        </is>
      </c>
      <c r="D28" s="2" t="inlineStr">
        <is>
          <t>공유 서비스에 대한 익명 접근 제한 설정</t>
        </is>
      </c>
      <c r="E28" s="2" t="inlineStr">
        <is>
          <t>양호 : 공유 서비스를 사용하지 않거나, 익명 인증 사용 안 함으로 설정된 경우
취약 : 공유 서비스를 사용하거나, 익명 인증 사용함으로 설정된 경우</t>
        </is>
      </c>
      <c r="F28" s="14" t="inlineStr">
        <is>
          <t>양호</t>
        </is>
      </c>
      <c r="G28" s="2" t="inlineStr">
        <is>
          <t>- 판단기준의 '익명 인증 사용 안 함으로 설정된 경우 양호'에 해당 — 점검내용 라인 RestrictNullSessAccess=1, RestrictAnonymous=1 모두 익명/널 세션 접근을 제한하는 값(1)으로 설정됨
- RestrictNullSessAccess=1: 널 세션(익명) 사용자의 공유 접근을 차단하는 설정으로 안전 값과 일치
- RestrictAnonymous=1: 익명 연결에 대한 열거·접근을 제한하는 설정으로 안전 값과 일치
- 두 레지스트리 값 모두 익명 접근 제한이 활성화되어 있어 의심/이상치 없음</t>
        </is>
      </c>
      <c r="H28" s="14" t="inlineStr">
        <is>
          <t>양호</t>
        </is>
      </c>
      <c r="I28" s="2" t="inlineStr">
        <is>
          <t>- 판단기준의 '익명 인증 사용 안 함으로 설정된 경우 양호'에 해당하며, 점검내용 'RestrictAnonymous=1'은 익명(Anonymous) 접근 제한이 설정된 값임
- 점검내용 'RestrictNullSessAccess=1'은 Null Session(익명) 공유 접근을 제한하는 값으로, 공유 서비스에 대한 익명 접근이 차단된 상태임
- 두 레지스트리 값 모두 제한(=1)으로 설정되어 익명 접근 허용 항목이 없으므로 이상치 없이 양호로 판정함</t>
        </is>
      </c>
    </row>
    <row r="29">
      <c r="B29" s="15" t="n"/>
      <c r="C29" s="9" t="inlineStr">
        <is>
          <t>W-24</t>
        </is>
      </c>
      <c r="D29" s="2" t="inlineStr">
        <is>
          <t>FTP 접근 제어 설정</t>
        </is>
      </c>
      <c r="E29" s="2" t="inlineStr">
        <is>
          <t>양호 : 특정 IP주소에서만 FTP 서버에 접속하도록 접근 제어 설정을 적용한 경우
취약 : 특정 IP주소에서만 FTP 서버에 접속하도록 접근 제어 설정을 적용하지 않는 경우</t>
        </is>
      </c>
      <c r="F29" s="16" t="inlineStr">
        <is>
          <t>N/A</t>
        </is>
      </c>
      <c r="G29" s="2" t="inlineStr">
        <is>
          <t>- 판단기준은 'FTP 서버에 특정 IP주소 접근 제어 설정 적용 여부'를 점검하나, 점검내용(로우데이터)이 'FTP 미구동'으로 FTP 서비스 자체가 구동되지 않음
- FTP 서비스가 미구동 상태이므로 접근 제어 설정의 점검 대상이 존재하지 않아 본 항목의 점검 대상에 해당하지 않음
- 따라서 양호/취약 판정 대상이 아닌 N/A로 판정</t>
        </is>
      </c>
      <c r="H29" s="16" t="inlineStr">
        <is>
          <t>N/A</t>
        </is>
      </c>
      <c r="I29" s="2" t="inlineStr">
        <is>
          <t>- 판단기준은 FTP 서버가 구동 중일 때 특정 IP주소에서만 접속하도록 접근 제어 설정이 적용되었는지를 점검하는 항목임
- 점검내용(로우데이터)이 'FTP 미구동'으로, FTP 서비스 자체가 동작하지 않아 외부에서 FTP로 접속할 수 있는 경로가 존재하지 않음
- FTP 서비스가 구동되지 않아 비인가 IP의 FTP 접속 위협이 발생하지 않으므로 접근 제어 미설정에 따른 취약점이 성립하지 않아 양호로 판정함</t>
        </is>
      </c>
    </row>
    <row r="30">
      <c r="B30" s="15" t="n"/>
      <c r="C30" s="9" t="inlineStr">
        <is>
          <t>W-25</t>
        </is>
      </c>
      <c r="D30" s="2" t="inlineStr">
        <is>
          <t>DNS Zone Transfer 설정</t>
        </is>
      </c>
      <c r="E30" s="2" t="inlineStr">
        <is>
          <t>양호 : 아래 기준에 해당하는 경우 1. DNS 서비스가 비활성화인 경우 2. 영역 전송 허용을 하지 않는 경우 3. 특정 서버로만 설정이 되어있는 경우
취약 : 위 3개 기준 중 하나라도 해당하지 않는 경우</t>
        </is>
      </c>
      <c r="F30" s="14" t="inlineStr">
        <is>
          <t>양호</t>
        </is>
      </c>
      <c r="G30" s="2" t="inlineStr">
        <is>
          <t>- 판단기준 1번(DNS 서비스가 비활성화인 경우)에 해당함
- 점검내용(로우데이터)에 'DNS 미구동'으로 명시되어 있어 DNS 서비스가 구동되지 않는 상태임
- DNS 서비스가 비활성화 상태이므로 Zone Transfer를 통한 영역 정보 유출 위험이 없어 양호로 판정함</t>
        </is>
      </c>
      <c r="H30" s="14" t="inlineStr">
        <is>
          <t>양호</t>
        </is>
      </c>
      <c r="I30" s="2" t="inlineStr">
        <is>
          <t>- 판단기준 1번(DNS 서비스가 비활성화인 경우)은 양호 조건에 해당함
- 점검내용(로우데이터)에 'DNS 미구동'으로 명시되어 DNS 서비스가 구동되지 않음을 확인함
- DNS 서비스 자체가 동작하지 않으므로 Zone Transfer(영역 전송)에 따른 위협이 존재하지 않아 양호로 판정함</t>
        </is>
      </c>
    </row>
    <row r="31">
      <c r="B31" s="15" t="n"/>
      <c r="C31" s="9" t="inlineStr">
        <is>
          <t>W-26</t>
        </is>
      </c>
      <c r="D31" s="2" t="inlineStr">
        <is>
          <t>RDS(Remote Data Services) 제거</t>
        </is>
      </c>
      <c r="E31" s="2" t="inlineStr">
        <is>
          <t>양호 : 다음 중 한 가지라도 해당하는 경우 1. IIS를 사용하지 않는 경우 2. Windows 2008 이상 버전을 사용하는 경우 3. Windows 2000 서비스팩 4, Windows 2003 서비스팩 2 이상 설치된 경우 4. 기본 웹 사이트에 MSADC 가상 디렉터리가 존재하지 않는 경우 5. 해당 레지스트리 값이 존재하지 않는 경우
취약 : 양호 기준에 한 가지도 해당하지 않는 경우</t>
        </is>
      </c>
      <c r="F31" s="14" t="inlineStr">
        <is>
          <t>양호</t>
        </is>
      </c>
      <c r="G31" s="2" t="inlineStr">
        <is>
          <t>- 판단기준 1번(IIS를 사용하지 않는 경우)에 해당함
- 점검내용 라인 'IIS(W3SVC) 미설치 — RDS 위험 비해당'에서 IIS 웹 서비스(W3SVC)가 설치되어 있지 않음을 확인함
- IIS가 설치되지 않아 RDS(MSADC) 가상 디렉터리 및 관련 위험이 존재할 수 없으므로 양호로 판정함</t>
        </is>
      </c>
      <c r="H31" s="14" t="inlineStr">
        <is>
          <t>양호</t>
        </is>
      </c>
      <c r="I31" s="2" t="inlineStr">
        <is>
          <t>- 판단기준 1번(IIS를 사용하지 않는 경우)에 해당함
- 점검내용 라인 'IIS(W3SVC) 미설치 — RDS 위험 비해당'에서 IIS 웹 서비스(W3SVC)가 설치되어 있지 않음을 확인함
- IIS가 미설치되어 RDS(Remote Data Services)로 인한 원격 명령 실행 위험 자체가 존재하지 않으므로 양호로 판정함</t>
        </is>
      </c>
    </row>
    <row r="32">
      <c r="B32" s="15" t="n"/>
      <c r="C32" s="9" t="inlineStr">
        <is>
          <t>W-27</t>
        </is>
      </c>
      <c r="D32" s="2" t="inlineStr">
        <is>
          <t>최신 Windows OS Build 버전 적용</t>
        </is>
      </c>
      <c r="E32" s="2" t="inlineStr">
        <is>
          <t>양호 : 최신 Build가 설치되어 있으며 적용 절차 및 방법이 수립된 경우
취약 : 최신 Build가 설치되지 않거나, 적용 절차 및 방법이 수립되지 않은 경우</t>
        </is>
      </c>
      <c r="F32" s="16" t="inlineStr">
        <is>
          <t>N/A</t>
        </is>
      </c>
      <c r="G32" s="2" t="inlineStr">
        <is>
          <t>- 판단기준의 '양호'는 (1) 최신 Build 설치 (2) 적용 절차 및 방법 수립 두 조건을 모두 만족해야 함
- 점검내용에는 OS(Windows Server 2019 Datacenter, ReleaseId 1809), 빌드 17763.8880만 제시되어 있어 해당 빌드가 최신 누적 업데이트(Build) 인지 여부를 로우데이터만으로 확정할 수 없음
- 또한 '최신 Build 적용 절차 및 방법 수립' 여부를 입증하는 증적(패치 관리 정책/절차 문서 등)이 전혀 확인되지 않음
- 증적 부족·확인 불가 시 보수적으로 '취약'으로 판정하는 원칙에 따라 두 조건 충족이 입증되지 않으므로 취약으로 판정</t>
        </is>
      </c>
      <c r="H32" s="16" t="inlineStr">
        <is>
          <t>N/A</t>
        </is>
      </c>
      <c r="I32" s="2" t="inlineStr">
        <is>
          <t>- 판단기준의 '최신 Build 설치 + 적용 절차/방법 수립'을 모두 충족해야 양호이나, 점검내용에는 빌드(17763.8880), 버전(ReleaseId 1809), OS(Windows Server 2019 Datacenter) 정보만 제시되어 있고 패치/업데이트 적용 절차·방법 수립 여부에 대한 증적이 전혀 없음
- BuildLabEx가 17763.1.amd64fre.rs5_release.180914-1434 로 RTM(최초 출시) 라벨이며, 현재 빌드 리비전 17763.8880 이 점검 시점 기준 최신 누적 업데이트(LCU)인지 확인할 수 있는 근거(최신 KB/리비전 비교 정보)가 점검내용에 포함되어 있지 않음
- 최신 Build 여부와 적용 절차 수립 여부를 증적으로 확인할 수 없어, 보수적 판정 원칙에 따라 '취약'으로 판정</t>
        </is>
      </c>
    </row>
    <row r="33">
      <c r="B33" s="15" t="n"/>
      <c r="C33" s="9" t="inlineStr">
        <is>
          <t>W-28</t>
        </is>
      </c>
      <c r="D33" s="2" t="inlineStr">
        <is>
          <t>터미널 서비스 암호화 수준 설정</t>
        </is>
      </c>
      <c r="E33" s="2" t="inlineStr">
        <is>
          <t>양호 : 원격 데스크톱 서비스를 사용하지 않거나 사용 시 암호화 수준을 “클라이언트와 호환 가능(중간)” 이상으로 설정한 경우
취약 : 원격 데스크톱 서비스를 사용하고 암호화 수준이 “낮음”으로 설정한 경우</t>
        </is>
      </c>
      <c r="F33" s="14" t="inlineStr">
        <is>
          <t>양호</t>
        </is>
      </c>
      <c r="G33" s="2" t="inlineStr">
        <is>
          <t>- 판단기준의 '양호' 조건은 암호화 수준을 "클라이언트와 호환 가능(중간)" 이상으로 설정한 경우이며, RDP MinEncryptionLevel 레지스트리 값 2는 정확히 '클라이언트와 호환 가능(중간)' 수준에 해당함
- 점검내용 로우데이터 '값=2'는 '낮음'(값=1)에 해당하지 않으므로 취약 조건(암호화 수준 '낮음')에 부합하지 않음
- 따라서 중간 이상의 암호화 수준이 설정되어 있어 양호로 판정함</t>
        </is>
      </c>
      <c r="H33" s="14" t="inlineStr">
        <is>
          <t>양호</t>
        </is>
      </c>
      <c r="I33" s="2" t="inlineStr">
        <is>
          <t>- 판단기준: RDP 암호화 수준이 "클라이언트와 호환 가능(중간)" 이상이면 양호, "낮음"이면 취약
- 점검내용: MinEncryptionLevel 값=2 이며, 이는 RDP 암호화 수준 "클라이언트와 호환 가능(중간)"에 해당 (1=낮음, 2=중간, 3=높음, 4=FIPS 호환)
- 값이 2(중간)로 "낮음"(1)이 아니며 기준의 중간 이상 요건을 충족하므로 양호로 판정</t>
        </is>
      </c>
    </row>
    <row r="34">
      <c r="B34" s="15" t="n"/>
      <c r="C34" s="9" t="inlineStr">
        <is>
          <t>W-29</t>
        </is>
      </c>
      <c r="D34" s="2" t="inlineStr">
        <is>
          <t>불필요한 SNMP 서비스 구동 점검</t>
        </is>
      </c>
      <c r="E34" s="2" t="inlineStr">
        <is>
          <t>양호 : SNMP 서비스를 사용하지 않는 경우 또는 Community String을 설정하여 SNMP 서비스를 사용하는 경우
취약 : 불필요하게 SNMP 서비스를 사용하는 경우</t>
        </is>
      </c>
      <c r="F34" s="14" t="inlineStr">
        <is>
          <t>양호</t>
        </is>
      </c>
      <c r="G34" s="2" t="inlineStr">
        <is>
          <t>- 판단기준의 '양호: SNMP 서비스를 사용하지 않는 경우'에 해당함
- 점검내용(로우데이터)에 'SNMP 미구동'으로 명시되어 SNMP 서비스가 구동되지 않음을 확인함
- 불필요한 SNMP 서비스 구동이 없으므로 취약 조건에 해당하지 않음</t>
        </is>
      </c>
      <c r="H34" s="14" t="inlineStr">
        <is>
          <t>양호</t>
        </is>
      </c>
      <c r="I34" s="2" t="inlineStr">
        <is>
          <t>- 판단기준의 '양호 : SNMP 서비스를 사용하지 않는 경우'에 해당함
- 점검내용(로우데이터)에 'SNMP 미구동'으로 명시되어 SNMP 서비스가 구동되지 않음을 확인함
- SNMP 서비스가 구동되지 않으므로 불필요한 SNMP 서비스 사용에 따른 위험이 없어 양호로 판정함</t>
        </is>
      </c>
    </row>
    <row r="35">
      <c r="B35" s="15" t="n"/>
      <c r="C35" s="9" t="inlineStr">
        <is>
          <t>W-30</t>
        </is>
      </c>
      <c r="D35" s="2" t="inlineStr">
        <is>
          <t>SNMP Community String 복잡성 설정</t>
        </is>
      </c>
      <c r="E35" s="2" t="inlineStr">
        <is>
          <t>양호 : SNMP 서비스를 사용하지 않거나 Community String이 public, private 이 아닌 경우
취약 : SNMP 서비스를 사용하며, Community String이 public, private인 경우</t>
        </is>
      </c>
      <c r="F35" s="14" t="inlineStr">
        <is>
          <t>양호</t>
        </is>
      </c>
      <c r="G35" s="2" t="inlineStr">
        <is>
          <t>- 판단기준의 양호 조건은 'SNMP 서비스를 사용하지 않거나 Community String이 public, private이 아닌 경우'임
- 점검내용(로우데이터)에 'SNMP 미설치'로 기재되어 있어 SNMP 서비스 자체가 설치·사용되지 않음
- SNMP 서비스를 사용하지 않으므로 Community String 설정 여부와 무관하게 양호 조건을 충족함</t>
        </is>
      </c>
      <c r="H35" s="14" t="inlineStr">
        <is>
          <t>양호</t>
        </is>
      </c>
      <c r="I35" s="2" t="inlineStr">
        <is>
          <t>- 판단기준의 양호 조건은 'SNMP 서비스를 사용하지 않거나 Community String이 public, private이 아닌 경우'임
- 점검내용(로우데이터)이 'SNMP 미설치'로, SNMP 서비스 자체가 설치되어 있지 않아 사용하지 않는 상태에 해당함
- SNMP 서비스 미사용으로 Community String 설정 자체가 존재하지 않아 public/private 취약 조건이 성립하지 않으므로 양호로 판정함</t>
        </is>
      </c>
    </row>
    <row r="36">
      <c r="B36" s="15" t="n"/>
      <c r="C36" s="9" t="inlineStr">
        <is>
          <t>W-31</t>
        </is>
      </c>
      <c r="D36" s="2" t="inlineStr">
        <is>
          <t>SNMP Access control 설정</t>
        </is>
      </c>
      <c r="E36" s="2" t="inlineStr">
        <is>
          <t>양호 : SNMP 서비스를 사용하지 않거나 특정 호스트로부터 SNMP 패킷 받아들이기가 설정된 경우
취약 : 모든 호스트로부터 SNMP 패킷 받아들이기가 설정된 경우</t>
        </is>
      </c>
      <c r="F36" s="14" t="inlineStr">
        <is>
          <t>양호</t>
        </is>
      </c>
      <c r="G36" s="2" t="inlineStr">
        <is>
          <t>- 판단기준의 양호 조건은 'SNMP 서비스를 사용하지 않거나 특정 호스트로부터만 SNMP 패킷을 받아들이도록 설정된 경우'임
- 점검내용(로우데이터)에 'SNMP 미설치'로 명시되어 있어 SNMP 서비스 자체가 설치되지 않은 상태임
- SNMP 서비스를 사용하지 않으므로 모든 호스트로부터 SNMP 패킷을 받아들이는 위험 조건에 해당하지 않아 양호로 판정함</t>
        </is>
      </c>
      <c r="H36" s="14" t="inlineStr">
        <is>
          <t>양호</t>
        </is>
      </c>
      <c r="I36" s="2" t="inlineStr">
        <is>
          <t>- 판단기준 '양호: SNMP 서비스를 사용하지 않거나 특정 호스트로부터 SNMP 패킷 받아들이기가 설정된 경우'에 해당함
- 점검내용 로우데이터가 'SNMP 미설치'로, SNMP 서비스 자체가 설치되어 있지 않아 사용하지 않는 상태임
- 취약 조건인 '모든 호스트로부터 SNMP 패킷 받아들이기 설정'에 해당할 SNMP 서비스가 존재하지 않으므로 취약 사유 없음</t>
        </is>
      </c>
    </row>
    <row r="37">
      <c r="B37" s="15" t="n"/>
      <c r="C37" s="9" t="inlineStr">
        <is>
          <t>W-32</t>
        </is>
      </c>
      <c r="D37" s="2" t="inlineStr">
        <is>
          <t>DNS 서비스 구동 점검</t>
        </is>
      </c>
      <c r="E37" s="2" t="inlineStr">
        <is>
          <t>양호 : DNS 서비스를 사용하지 않거나 동적 업데이트 “없음(아니오)”으로 설정된 경우
취약 : 서비스를 사용하며 동적 업데이트가 설정된 경우</t>
        </is>
      </c>
      <c r="F37" s="14" t="inlineStr">
        <is>
          <t>양호</t>
        </is>
      </c>
      <c r="G37" s="2" t="inlineStr">
        <is>
          <t>- 판단기준의 양호 조건은 'DNS 서비스를 사용하지 않거나 동적 업데이트가 없음으로 설정된 경우'임
- 점검내용(로우데이터)에 'DNS 미구동'으로 기록되어 DNS 서비스 자체가 구동되지 않음이 확인됨
- 서비스 미사용 상태이므로 동적 업데이트 설정과 무관하게 양호 조건을 충족함</t>
        </is>
      </c>
      <c r="H37" s="14" t="inlineStr">
        <is>
          <t>양호</t>
        </is>
      </c>
      <c r="I37" s="2" t="inlineStr">
        <is>
          <t>- 판단기준의 양호 조건은 'DNS 서비스를 사용하지 않거나 동적 업데이트 없음으로 설정된 경우'이며, 점검내용 원시 라인은 'DNS 미구동'으로 서비스가 구동되지 않음을 명시함
- 서비스 자체가 미구동 상태이므로 동적 업데이트 설정 여부와 무관하게 취약 조건('서비스를 사용하며 동적 업데이트가 설정된 경우')에 해당하지 않음
- DNS 서비스 미사용이 확인되어 양호로 판정함</t>
        </is>
      </c>
    </row>
    <row r="38">
      <c r="B38" s="15" t="n"/>
      <c r="C38" s="9" t="inlineStr">
        <is>
          <t>W-33</t>
        </is>
      </c>
      <c r="D38" s="2" t="inlineStr">
        <is>
          <t>HTTP/FTP/SMTP 배너 차단</t>
        </is>
      </c>
      <c r="E38" s="2" t="inlineStr">
        <is>
          <t>양호 : HTTP, FTP, SMTP 접속 시 배너 정보가 보이지 않는 경우
취약 : HTTP, FTP, SMTP 접속 시 배너 정보가 보이는 경우</t>
        </is>
      </c>
      <c r="F38" s="16" t="inlineStr">
        <is>
          <t>N/A</t>
        </is>
      </c>
      <c r="G38" s="2" t="inlineStr">
        <is>
          <t>- 판단기준은 HTTP/FTP/SMTP 접속 시 배너 정보 노출 여부를 점검하는 항목임
- 점검내용(로우데이터)에 '관련 서비스 없음'으로 명시되어 있어, IIS/FTP/SMTP 서비스 자체가 구동되지 않음
- 점검 대상 서비스가 존재하지 않아 배너 노출 여부를 판정할 대상이 없으므로 '점검 대상 아님'에 해당하여 N/A로 판정</t>
        </is>
      </c>
      <c r="H38" s="16" t="inlineStr">
        <is>
          <t>N/A</t>
        </is>
      </c>
      <c r="I38" s="2" t="inlineStr">
        <is>
          <t>- 판단기준은 HTTP/FTP/SMTP 접속 시 배너 정보 노출 여부를 점검하는 항목임
- 점검내용(로우데이터)에 '관련 서비스 없음'으로 명시되어 있어 IIS(HTTP)/FTP/SMTP 서비스 자체가 구동되지 않음
- 점검 대상 서비스가 존재하지 않으므로 배너 노출 여부를 판정할 대상이 없음 → '점검 대상이 아님'에 해당하여 N/A 처리</t>
        </is>
      </c>
    </row>
    <row r="39">
      <c r="B39" s="15" t="n"/>
      <c r="C39" s="9" t="inlineStr">
        <is>
          <t>W-34</t>
        </is>
      </c>
      <c r="D39" s="2" t="inlineStr">
        <is>
          <t>Telnet 서비스 비활성화</t>
        </is>
      </c>
      <c r="E39" s="2" t="inlineStr">
        <is>
          <t>양호 : Telnet 서비스가 구동되어 있지 않거나 인증 방법이 NTLM인 경우
취약 : Telnet 서비스가 구동되어 있으며 인증 방법이 NTLM이 아닌 경우</t>
        </is>
      </c>
      <c r="F39" s="16" t="inlineStr">
        <is>
          <t>N/A</t>
        </is>
      </c>
      <c r="G39" s="2" t="inlineStr">
        <is>
          <t>- 판단기준의 양호 조건은 'Telnet 서비스가 구동되어 있지 않거나 인증 방법이 NTLM인 경우'임
- 점검내용(로우데이터)에 'Telnet 서비스 미설치'로 명시되어 있어, 서비스가 설치되지 않아 구동될 수 없는 상태임
- 서비스 미설치 = 미구동 상태이므로 취약 조건('Telnet 서비스가 구동되어 있으며 인증 방법이 NTLM이 아닌 경우')에 해당하지 않음
- 따라서 양호로 판정함</t>
        </is>
      </c>
      <c r="H39" s="16" t="inlineStr">
        <is>
          <t>N/A</t>
        </is>
      </c>
      <c r="I39" s="2" t="inlineStr">
        <is>
          <t>- 판단기준의 양호 조건은 'Telnet 서비스가 구동되어 있지 않은 경우'를 포함함
- 점검내용(로우데이터)이 'Telnet 서비스 미설치'로, 서비스 자체가 설치되어 있지 않아 구동될 수 없는 상태임
- 미설치 상태이므로 인증 방법(NTLM 여부)과 무관하게 양호 조건을 충족함</t>
        </is>
      </c>
    </row>
    <row r="40">
      <c r="B40" s="15" t="n"/>
      <c r="C40" s="9" t="inlineStr">
        <is>
          <t>W-35</t>
        </is>
      </c>
      <c r="D40" s="2" t="inlineStr">
        <is>
          <t>불필요한 ODBC/OLE-DB 데이터 소스와 드라이버 제거</t>
        </is>
      </c>
      <c r="E40" s="2" t="inlineStr">
        <is>
          <t>양호 : 시스템 DSN 부분의 데이터 소스를 현재 사용하고 있는 경우
취약 : 시스템 DSN 부분의 데이터 소스를 현재 사용하고 있지 않은 경우</t>
        </is>
      </c>
      <c r="F40" s="14" t="inlineStr">
        <is>
          <t>양호</t>
        </is>
      </c>
      <c r="G40" s="2" t="inlineStr">
        <is>
          <t>- 판단기준상 시스템 DSN 부분의 데이터 소스를 현재 사용하지 않는(불필요한) 항목이 존재하면 취약으로 판정함
- 점검내용(로우데이터)에 'DSN 수: 0'으로 표기되어 시스템 DSN에 등록된 데이터 소스가 전혀 없음
- 등록된 데이터 소스가 없으므로 불필요하게 방치된(미사용) 시스템 DSN이 존재하지 않아 제거 대상이 없는 상태임
- 따라서 불필요한 ODBC/OLE-DB 데이터 소스가 남아있지 않으므로 양호로 판정함</t>
        </is>
      </c>
      <c r="H40" s="14" t="inlineStr">
        <is>
          <t>양호</t>
        </is>
      </c>
      <c r="I40" s="2" t="inlineStr">
        <is>
          <t>- 판단기준은 시스템 DSN에 현재 사용하지 않는(불필요한) 데이터 소스가 존재하면 '취약'으로 본다.
- 점검내용 'DSN 수: 0' 라인은 시스템에 등록된 ODBC/OLE-DB 데이터 소스가 전혀 없음을 의미한다.
- 등록된 데이터 소스가 0개이므로 사용하지 않는 불필요한 DSN 자체가 존재하지 않아 제거 대상이 없다.
- 따라서 불필요한 데이터 소스/드라이버가 남아있지 않은 양호한 상태로 판정한다.</t>
        </is>
      </c>
    </row>
    <row r="41">
      <c r="B41" s="15" t="n"/>
      <c r="C41" s="9" t="inlineStr">
        <is>
          <t>W-36</t>
        </is>
      </c>
      <c r="D41" s="2" t="inlineStr">
        <is>
          <t>원격터미널 접속 타임아웃 설정</t>
        </is>
      </c>
      <c r="E41" s="2" t="inlineStr">
        <is>
          <t>양호 : 원격 제어 시 Timeout 제어 설정을 30분 이하로 설정한 경우
취약 : 원격 제어 시 Timeout 제어 설정을 적용하지 않거나 30분 초과로 설정한 경우</t>
        </is>
      </c>
      <c r="F41" s="14" t="inlineStr">
        <is>
          <t>양호</t>
        </is>
      </c>
      <c r="G41" s="2" t="inlineStr">
        <is>
          <t>- 판단기준(양호): 원격 제어 Timeout 제어 설정을 30분 이하로 설정한 경우
- 점검내용(로우데이터): Terminal Services MaxIdleTime 값=1800000ms 로, 1800000ms ÷ 60000 = 30분에 해당
- Timeout 제어가 적용되어 있고(미설정 아님) 설정값이 정확히 30분으로 '30분 이하' 조건을 충족하며 '30분 초과'에 해당하지 않으므로 양호로 판정</t>
        </is>
      </c>
      <c r="H41" s="14" t="inlineStr">
        <is>
          <t>양호</t>
        </is>
      </c>
      <c r="I41" s="2" t="inlineStr">
        <is>
          <t>- 판단기준 '양호'는 원격 제어 시 Timeout 제어 설정을 30분 이하로 설정한 경우를 요구함
- 점검내용 원시값이 '값=1800000ms (30분)'으로, 1800000ms = 1800초 = 정확히 30분에 해당함
- 30분은 '30분 이하' 기준을 충족하며, Timeout 미적용 또는 30분 초과 조건에 해당하지 않으므로 양호로 판정함</t>
        </is>
      </c>
    </row>
    <row r="42">
      <c r="B42" s="15" t="n"/>
      <c r="C42" s="9" t="inlineStr">
        <is>
          <t>W-37</t>
        </is>
      </c>
      <c r="D42" s="2" t="inlineStr">
        <is>
          <t>예약된 작업에 의심스러운 명령 등록 점검</t>
        </is>
      </c>
      <c r="E42" s="2" t="inlineStr">
        <is>
          <t>양호 : 불필요한 명령어나 파일 등 주기적인 예약 작업의 존재 여부를 주기적으로 점검하고 제거한 경우
취약 : 불필요한 명령어나 파일 등 주기적인 예약 작업의 존재 여부를 주기적으로 점검하지 않거나, 불필 요한 작업을 제거하지 않은 경우</t>
        </is>
      </c>
      <c r="F42" s="16" t="inlineStr">
        <is>
          <t>N/A</t>
        </is>
      </c>
      <c r="G42" s="2" t="inlineStr">
        <is>
          <t>- 판단기준의 '불필요한 명령어나 파일 등 의심스러운 예약 작업의 존재 여부'와 대응하여 점검내용의 활성 예약 작업 97개를 화이트리스트 차집합 방식으로 검토한 결과, 모두 \Microsoft\Windows\ 하위의 OS 기본 작업(.NET NGEN, Defender, UpdateOrchestrator, WindowsUpdate, TPM, CertificateServicesClient 등)과 정상 서명된 MicrosoftEdgeUpdate 작업으로 구성됨
- 실행 경로가 모두 %windir%\system32, %SystemRoot%\System32, C:\Program Files (x86)\Microsoft\EdgeUpdate, C:\ProgramData\Microsoft\Windows Defender 등 표준 시스템 경로의 정상 바이너리(compattelrunner.exe, defrag.exe, MpCmdRun.exe, usoclient.exe 등)를 가리키며, 사용자 홈/임시 디렉터리(Temp, AppData, Downloads 등)나 비표준 경로에서 실행되는 의심 작업이 식별되지 않음
- 명령 인자에도 인코딩된 PowerShell, 외부 다운로드, 알 수 없는 스크립트(.bat/.vbs 비정상 호출) 등 악성 행위 패턴이 없으며, 비표준 실행 숨김/우회 작업이 존재하지 않아 차집합상 '의심 항목'이 0건임
- 따라서 불필요·의심 예약 작업이 등록·잔존하지 않은 상태로 판단기준의 양호 조건('불필요한 작업 미존재/제거된 경우')에 부합함</t>
        </is>
      </c>
      <c r="H42" s="16" t="inlineStr">
        <is>
          <t>N/A</t>
        </is>
      </c>
      <c r="I42" s="2" t="inlineStr">
        <is>
          <t>- 판단기준의 '불필요한 명령어나 파일 등 주기적인 예약 작업의 존재 여부'와 관련하여, 점검내용의 활성 예약 작업 97개 전부가 \Microsoft\Windows\ 하위 OS 기본 작업과 MicrosoftEdgeUpdate(Edge 자동 업데이트) 작업으로, 모두 Microsoft 정상 경로(%windir%\system32, C:\Program Files (x86)\Microsoft\EdgeUpdate, C:\ProgramData\Microsoft\Windows Defender\Platform 등)에서 실행됨
- 이상치 점검(화이트리스트 차집합) 관점에서, 사용자 임의 경로(예: C:\Users\..., C:\Temp, 다운로드 폴더)나 의심스러운 스크립트·인코딩 명령(powershell -enc, cmd /c 임의 배치, .vbs/.bat 비표준 위치 등)을 실행하는 비표준 작업이 발견되지 않음 — Consolidator/silcollector.cmd/gatherNetworkInfo.vbs 등 cmd·cscript·vbs 호출 작업도 모두 %systemroot%\system32 정상 Windows 구성요소임
- 따라서 불필요하거나 악성으로 의심되는 주기적 예약 작업이 존재하지 않아, 판단기준의 양호 조건(불필요한 예약 작업을 점검·제거한 상태)에 부합함</t>
        </is>
      </c>
    </row>
    <row r="43">
      <c r="B43" s="9" t="inlineStr">
        <is>
          <t>패치 관리</t>
        </is>
      </c>
      <c r="C43" s="9" t="inlineStr">
        <is>
          <t>W-38</t>
        </is>
      </c>
      <c r="D43" s="2" t="inlineStr">
        <is>
          <t>주기적 보안 패치 및 벤더 권고사항 적용</t>
        </is>
      </c>
      <c r="E43" s="2" t="inlineStr">
        <is>
          <t>양호 : 패치 절차를 수립하여 주기적으로 패치를 확인 및 설치하는 경우
취약 : 패치 절차가 수립되어 있지 않거나 주기적으로 패치를 설치하지 않는 경우</t>
        </is>
      </c>
      <c r="F43" s="16" t="inlineStr">
        <is>
          <t>N/A</t>
        </is>
      </c>
      <c r="G43" s="2" t="inlineStr">
        <is>
          <t>- 판단기준의 '주기적으로 패치를 확인 및 설치하는 경우(양호)'와 관련해, 점검내용에 최근 패치 'KB5094143 (06/16/2026)'가 설치된 것으로 확인됨
- 점검 기준일(2026-06-29) 기준 약 2주 이내(06/16/2026)에 최신 보안 패치가 적용되어 있어 주기적인 패치 설치가 이루어지고 있는 것으로 판단됨
- 최근 HotFix 적용 이력이 존재하여 패치 미적용·장기 미패치 등 취약 사유에 해당하지 않음</t>
        </is>
      </c>
      <c r="H43" s="16" t="inlineStr">
        <is>
          <t>N/A</t>
        </is>
      </c>
      <c r="I43" s="2" t="inlineStr">
        <is>
          <t>- 판단기준의 '양호(주기적으로 패치를 확인 및 설치하는 경우)'에 대응하여, 점검내용에 최근 패치 'KB5094143 (06/16/2026)' 설치 이력이 확인됨
- 점검 기준일(2026-06-29) 기준 약 13일 전에 패치가 적용되어 최신 보안 패치가 누락 없이 주기적으로 반영되고 있는 것으로 판단됨
- 장기간 미적용(누적 패치 공백) 정황이 없어 '취약(주기적으로 패치를 설치하지 않는 경우)'에 해당하지 않음</t>
        </is>
      </c>
    </row>
    <row r="44">
      <c r="B44" s="15" t="n"/>
      <c r="C44" s="9" t="inlineStr">
        <is>
          <t>W-39</t>
        </is>
      </c>
      <c r="D44" s="2" t="inlineStr">
        <is>
          <t>백신 프로그램 업데이트</t>
        </is>
      </c>
      <c r="E44" s="2" t="inlineStr">
        <is>
          <t>양호 : 바이러스 백신 프로그램의 최신 엔진 업데이트가 설치되어 있거나, 망 격리 환경의 경우 백신 업데이트를 위한 절차 및 적용 방법이 수립된 경우
취약 : 바이러스 백신 프로그램의 최신 엔진 업데이트가 설치되어 있지 않거나, 망 격리 환경의 경우</t>
        </is>
      </c>
      <c r="F44" s="16" t="inlineStr">
        <is>
          <t>N/A</t>
        </is>
      </c>
      <c r="G44" s="2" t="inlineStr">
        <is>
          <t>- 판단기준의 '바이러스 백신 프로그램의 최신 엔진 업데이트 설치' 조건 ↔ 점검내용 'Windows Defender(서명 1.453.331.0)' 로 백신이 설치되어 있고 서명(엔진) 버전이 적용되어 있음을 확인
- 판단기준의 백신 동작 상태 요건 ↔ 점검내용 '실시간=True' 로 실시간 보호 기능이 활성화되어 정상 동작 중임을 확인
- 백신 미설치·미동작·서명 미적용 등 취약 사유에 해당하는 라인이 없어 양호로 판정</t>
        </is>
      </c>
      <c r="H44" s="16" t="inlineStr">
        <is>
          <t>N/A</t>
        </is>
      </c>
      <c r="I44" s="2" t="inlineStr">
        <is>
          <t>- 판단기준의 '바이러스 백신 프로그램의 최신 엔진 업데이트 설치'에 대응하여, 점검내용에서 Windows Defender가 서명(시그니처) 버전 1.453.331.0 으로 업데이트된 상태로 확인됨
- 실시간 보호(실시간=True)가 활성화되어 있어 백신이 정상 동작 중임이 확인됨
- 백신 프로그램이 설치·구동되며 엔진/서명 업데이트가 적용된 상태이므로 양호로 판정함</t>
        </is>
      </c>
    </row>
    <row r="45">
      <c r="B45" s="9" t="inlineStr">
        <is>
          <t>로그 관리</t>
        </is>
      </c>
      <c r="C45" s="9" t="inlineStr">
        <is>
          <t>W-40</t>
        </is>
      </c>
      <c r="D45" s="2" t="inlineStr">
        <is>
          <t>정책에 따른 시스템 로깅 설정</t>
        </is>
      </c>
      <c r="E45" s="2" t="inlineStr">
        <is>
          <t>양호 : 감사 정책 권고 기준에 따라 감사 설정이 되어 있는 경우
취약 : 감사 정책 권고 기준에 따라 감사 설정이 되어 있지 않은 경우</t>
        </is>
      </c>
      <c r="F45" s="14" t="inlineStr">
        <is>
          <t>양호</t>
        </is>
      </c>
      <c r="G45" s="2" t="inlineStr">
        <is>
          <t>- 판단기준(감사 정책 권고 기준에 따라 감사 설정이 되어 있는 경우 양호) ↔ 점검내용에서 auditpol /get /category:* 결과 38개 항목에 대해 감사가 활성화되어 있어 주요 감사 범주가 광범위하게 설정됨
- 핵심 권고 범주인 시스템 이벤트(System Integrity/Other System Events/Security State Change), 로그온/로그오프(Logon : Success and Failure, Logoff : Success and Failure, Special Logon, Account Lockout), 정책 변경(Audit Policy Change/Authentication Policy Change : Success and Failure), 권한 사용(Sensitive Privilege Use : Success and Failure), 계정 로그온(Credential Validation/Kerberos : Success and Failure) 등이 성공·실패 모두 감사되도록 설정됨
- 계정 관리(User Account Management, Security Group Management, Computer Account Management 등)와 디렉터리 서비스 액세스(Directory Service Access/Changes) 범주는 'Failure'로만 설정되어 성공 이벤트는 누락되나, 해당 범주에 대한 감사 자체는 활성화되어 있어 권고 기준상 감사 미설정 상태는 아님
- 어떤 핵심 범주도 감사가 완전히 비활성('No Auditing')된 항목이 발견되지 않아 권고 기준에 따른 감사 설정이 되어 있는 것으로 판단됨</t>
        </is>
      </c>
      <c r="H45" s="14" t="inlineStr">
        <is>
          <t>양호</t>
        </is>
      </c>
      <c r="I45" s="2" t="inlineStr">
        <is>
          <t>- 판단기준(감사 정책 권고 기준에 따라 감사 설정) ↔ 점검내용에서 auditpol /get /category:* 결과 총 38개 감사 항목이 모두 활성화되어 있어, 로깅이 미설정(미감사)된 카테고리가 존재하지 않음
- 권고 핵심 카테고리인 로그온/로그오프(Logon, Logoff : Success and Failure), 계정 로그온(Credential Validation, Kerberos Authentication Service : Success and Failure), 정책 변경(Audit Policy Change, Authentication Policy Change : Success and Failure), 권한 사용(Sensitive Privilege Use : Success and Failure), 시스템(System Integrity, Other System Events : Success and Failure)이 성공·실패 모두 감사로 설정됨
- 계정 관리(User/Security Group/Computer Account Management 등)와 디렉터리 서비스(Directory Service Access/Changes 등) 카테고리는 'Failure'만 설정되어 성공 이벤트 감사는 누락되어 있으나, 모든 카테고리가 최소 1개 이상의 감사가 활성화되어 미감사 상태인 항목은 없음 — 권고 기준상 감사 설정 자체는 적용된 것으로 판단
- 미설정(No Auditing) 또는 누락된 권고 카테고리가 식별되지 않으므로 감사 정책이 권고 기준에 따라 설정된 상태로 판정</t>
        </is>
      </c>
    </row>
    <row r="46">
      <c r="B46" s="15" t="n"/>
      <c r="C46" s="9" t="inlineStr">
        <is>
          <t>W-41</t>
        </is>
      </c>
      <c r="D46" s="2" t="inlineStr">
        <is>
          <t>NTP 및 시각 동기화 설정</t>
        </is>
      </c>
      <c r="E46" s="2" t="inlineStr">
        <is>
          <t>양호 : NTP 및 시각 동기화를 설정한 경우
취약 : NTP 및 시각 동기화를 설정하지 않은 경우</t>
        </is>
      </c>
      <c r="F46" s="14" t="inlineStr">
        <is>
          <t>양호</t>
        </is>
      </c>
      <c r="G46" s="2" t="inlineStr">
        <is>
          <t>- 판단기준은 'NTP 및 시각 동기화를 설정한 경우' 양호인데, 점검내용에서 W32Time 서비스가 'Running' 상태로 구동 중임을 확인함
- 시각 동기화 방식이 'Type=NTP'로 설정되어 외부 NTP 서버와 동기화하도록 구성됨
- 'NtpServer=169.254.169.123,0x9'로 동기화 대상 NTP 서버가 지정되어 있어 시각 동기화 설정이 적용된 상태임
- 소스 추출은 실패했으나 서비스 구동·Type·NtpServer 핵심 항목이 모두 설정되어 있어 판단에 영향 없음</t>
        </is>
      </c>
      <c r="H46" s="14" t="inlineStr">
        <is>
          <t>양호</t>
        </is>
      </c>
      <c r="I46" s="2" t="inlineStr">
        <is>
          <t>- 판단기준의 '양호: NTP 및 시각 동기화를 설정한 경우'에 대응하여, 점검내용의 W32Time=Running 으로 시각 동기화 서비스(W32Time)가 구동 중임이 확인됨
- Type=NTP 로 시각 동기화 방식이 NTP로 설정되어 있어 외부 시각 소스와의 동기화 구성이 적용됨
- NtpServer=169.254.169.123,0x9 로 NTP 서버가 지정되어 있어 동기화 대상이 명시적으로 설정됨
- 소스=(추출실패) 항목은 일부 정보가 누락되었으나, W32Time 구동·Type=NTP·NtpServer 지정의 핵심 3요소가 모두 충족되어 NTP 및 시각 동기화 설정이 적용된 것으로 판정 가능하므로 '양호'</t>
        </is>
      </c>
    </row>
    <row r="47">
      <c r="B47" s="15" t="n"/>
      <c r="C47" s="9" t="inlineStr">
        <is>
          <t>W-42</t>
        </is>
      </c>
      <c r="D47" s="2" t="inlineStr">
        <is>
          <t>로그 관리 설정</t>
        </is>
      </c>
      <c r="E47" s="2" t="inlineStr">
        <is>
          <t>양호 : 최대 로그 크기 “10,240KB 이상”으로 설정, “90일 이후 이벤트 덮어씀”을 설정한 경우
취약 : 최대 로그 크기 “10,240KB 미만”으로 설정, 이벤트 덮어씀 기간이 “90일 이하로 설정된 경우</t>
        </is>
      </c>
      <c r="F47" s="14" t="inlineStr">
        <is>
          <t>양호</t>
        </is>
      </c>
      <c r="G47" s="2" t="inlineStr">
        <is>
          <t>- 판단기준의 '최대 로그 크기 10,240KB 이상' 조건 ↔ 점검내용 'Security MaxSize=20480KB'는 20,480KB로 기준치 10,240KB 이상을 충족함
- 판단기준의 '90일 이후 이벤트 덮어씀' 조건 ↔ 점검내용 '보관정책=덮어쓰기/보관(손실없음)'으로, 보관 시 손실 없이 유지되어 90일 이하 강제 덮어씀으로 인한 로그 손실 위험이 없음
- 최대 크기 기준 충족과 손실없는 보관정책 두 조건을 모두 만족하므로 양호로 판정함</t>
        </is>
      </c>
      <c r="H47" s="14" t="inlineStr">
        <is>
          <t>양호</t>
        </is>
      </c>
      <c r="I47" s="2" t="inlineStr">
        <is>
          <t>- 판단기준의 '최대 로그 크기 10,240KB 이상' 조건 ↔ 점검내용의 'Security MaxSize=20480KB'로 10,240KB 이상을 충족함
- 판단기준의 '이벤트 덮어씀 기간' 조건 ↔ 점검내용의 '보관정책=덮어쓰기/보관(손실없음)'으로, 필요 시 이벤트를 덮어쓰되 로그 손실이 없는 정책이 설정되어 있어 90일 이하로 제한되는 취약 설정이 아님
- 최대 로그 크기와 보관정책 모두 기준을 만족하므로 양호로 판정함</t>
        </is>
      </c>
    </row>
    <row r="48">
      <c r="B48" s="15" t="n"/>
      <c r="C48" s="9" t="inlineStr">
        <is>
          <t>W-43</t>
        </is>
      </c>
      <c r="D48" s="2" t="inlineStr">
        <is>
          <t>이벤트 로그 파일 접근 통제 설정</t>
        </is>
      </c>
      <c r="E48" s="2" t="inlineStr">
        <is>
          <t>양호 : 로그 디렉터리의 접근 권한에 Everyone 권한이 없는 경우
취약 : 로그 디렉터리의 접근 권한에 Everyone 권한이 있는 경우</t>
        </is>
      </c>
      <c r="F48" s="14" t="inlineStr">
        <is>
          <t>양호</t>
        </is>
      </c>
      <c r="G48" s="2" t="inlineStr">
        <is>
          <t>- 판단기준은 로그 디렉터리(winevt\Logs)의 ACL에 Everyone 권한이 존재하면 취약, 없으면 양호로 본다.
- 점검내용(로우데이터) 라인이 'Everyone/Users 쓰기 권한 없음'으로, Everyone 계정에 대한 접근(쓰기) 권한이 부여되어 있지 않음을 명시하고 있다.
- 따라서 Everyone 권한이 ACL에 존재하지 않으므로 양호 조건에 부합한다.
- 의심/이상치(비표준 계정의 과도한 권한 등)로 볼 만한 라인이 점검내용에 없다.</t>
        </is>
      </c>
      <c r="H48" s="14" t="inlineStr">
        <is>
          <t>양호</t>
        </is>
      </c>
      <c r="I48" s="2" t="inlineStr">
        <is>
          <t>- 판단기준의 '양호' 조건은 로그 디렉터리(winevt\Logs)의 접근 권한에 Everyone 권한이 없는 경우임
- 점검내용(로우데이터) 'Everyone/Users 쓰기 권한 없음' 라인은 Everyone에 대한 쓰기 권한이 부여되어 있지 않음을 의미함
- 따라서 로그 디렉터리 ACL에 Everyone 권한이 존재하지 않으므로 판단기준의 '양호' 조건에 부합함</t>
        </is>
      </c>
    </row>
    <row r="49">
      <c r="B49" s="9" t="inlineStr">
        <is>
          <t>보안 관리</t>
        </is>
      </c>
      <c r="C49" s="9" t="inlineStr">
        <is>
          <t>W-44</t>
        </is>
      </c>
      <c r="D49" s="2" t="inlineStr">
        <is>
          <t>원격으로 액세스할 수 있는 레지스트리 경로 제한</t>
        </is>
      </c>
      <c r="E49" s="2" t="inlineStr">
        <is>
          <t>양호 : Remote Registry Service가 중지된 경우
취약 : Remote Registry Service가 사용 중인 경우</t>
        </is>
      </c>
      <c r="F49" s="14" t="inlineStr">
        <is>
          <t>양호</t>
        </is>
      </c>
      <c r="G49" s="2" t="inlineStr">
        <is>
          <t>- 판단기준은 'Remote Registry Service가 중지된 경우 양호 / 사용 중인 경우 취약'으로 서비스 구동여부가 결정 기준임
- 점검내용(로우데이터) 'RemoteRegistry 상태=Stopped' 라인에서 원격 레지스트리 서비스가 중지(Stopped) 상태임을 확인함
- 따라서 원격 레지스트리 접근 경로가 서비스 중지로 차단되어 양호로 판정함</t>
        </is>
      </c>
      <c r="H49" s="14" t="inlineStr">
        <is>
          <t>양호</t>
        </is>
      </c>
      <c r="I49" s="2" t="inlineStr">
        <is>
          <t>- 판단기준의 양호 조건은 'Remote Registry Service가 중지된 경우'이며, 점검내용 라인 'RemoteRegistry 상태=Stopped' 가 이에 정확히 대응함
- Remote Registry 서비스가 Stopped 상태이므로 원격에서 레지스트리 경로에 액세스할 수 없어 위험이 제거됨
- 취약 조건인 'Remote Registry Service가 사용 중(Running)'에 해당하는 증적이 없음</t>
        </is>
      </c>
    </row>
    <row r="50">
      <c r="B50" s="15" t="n"/>
      <c r="C50" s="9" t="inlineStr">
        <is>
          <t>W-45</t>
        </is>
      </c>
      <c r="D50" s="2" t="inlineStr">
        <is>
          <t>백신 프로그램 설치</t>
        </is>
      </c>
      <c r="E50" s="2" t="inlineStr">
        <is>
          <t>양호 : 바이러스 백신 프로그램이 설치된 경우
취약 : 바이러스 백신 프로그램이 설치되어 있지 않은 경우</t>
        </is>
      </c>
      <c r="F50" s="14" t="inlineStr">
        <is>
          <t>양호</t>
        </is>
      </c>
      <c r="G50" s="2" t="inlineStr">
        <is>
          <t>- 판단기준의 '바이러스 백신 프로그램이 설치된 경우' 조건에 대응하여, 점검내용에 'Windows Defender'가 설치되어 있음이 확인됨
- 점검내용 라인 '서명 1.453.331.0'으로 백신 시그니처가 정상 적용되어 있음을 확인
- 점검내용 라인 '실시간=True'로 실시간 보호 기능이 동작 중임을 확인하여 백신이 정상 설치·구동 상태임</t>
        </is>
      </c>
      <c r="H50" s="14" t="inlineStr">
        <is>
          <t>양호</t>
        </is>
      </c>
      <c r="I50" s="2" t="inlineStr">
        <is>
          <t>- 판단기준의 '바이러스 백신 프로그램이 설치된 경우(양호)'에 해당 — 점검내용에 'Windows Defender(서명 1.453.331.0, 실시간=True)'로 백신 프로그램 설치가 확인됨
- 서명 버전이 '1.453.331.0'으로 정상 표기되어 있어 엔진/서명 DB가 적용된 상태임
- '실시간=True'로 실시간 감시 기능이 활성화되어 있어 백신이 정상 동작 중인 것으로 판단됨</t>
        </is>
      </c>
    </row>
    <row r="51">
      <c r="B51" s="15" t="n"/>
      <c r="C51" s="9" t="inlineStr">
        <is>
          <t>W-46</t>
        </is>
      </c>
      <c r="D51" s="2" t="inlineStr">
        <is>
          <t>SAM 파일 접근 통제 설정</t>
        </is>
      </c>
      <c r="E51" s="2" t="inlineStr">
        <is>
          <t>양호 : SAM 파일 접근 권한에 Administrator, System 그룹만 모든 권한으로 설정된 경우
취약 : SAM 파일 접근 권한에 Administrator, System 그룹 외 다른 그룹에 권한이 설정된 경우</t>
        </is>
      </c>
      <c r="F51" s="14" t="inlineStr">
        <is>
          <t>양호</t>
        </is>
      </c>
      <c r="G51" s="2" t="inlineStr">
        <is>
          <t>- 판단기준의 '양호' 조건은 SAM 파일 접근 권한에 Administrator, System 그룹만 권한이 설정되고 그 외 그룹(Everyone, Users 등)에는 권한이 없어야 함을 요구함
- 점검내용 라인 'Everyone/Users 권한 없음'은 Administrator·System 외 일반 사용자/Everyone 그룹에 어떠한 권한도 부여되지 않았음을 명시함
- 따라서 Administrator, System 외 다른 그룹에 권한이 설정된 '취약' 조건에 해당하지 않으므로 양호로 판정함</t>
        </is>
      </c>
      <c r="H51" s="14" t="inlineStr">
        <is>
          <t>양호</t>
        </is>
      </c>
      <c r="I51" s="2" t="inlineStr">
        <is>
          <t>- 판단기준(양호): SAM 파일 접근 권한에 Administrator, System 그룹만 모든 권한으로 설정된 경우에 해당한다.
- 점검내용(로우데이터): 'Everyone/Users 권한 없음'으로, Administrator·System 외의 일반 사용자/그룹에 권한이 부여되어 있지 않음을 확인하였다.
- 취약 조건(Administrator, System 외 다른 그룹 권한 설정)에 매칭되는 이상치가 존재하지 않으므로 양호로 판정한다.</t>
        </is>
      </c>
    </row>
    <row r="52">
      <c r="B52" s="15" t="n"/>
      <c r="C52" s="9" t="inlineStr">
        <is>
          <t>W-47</t>
        </is>
      </c>
      <c r="D52" s="2" t="inlineStr">
        <is>
          <t>화면보호기 설정</t>
        </is>
      </c>
      <c r="E52" s="2" t="inlineStr">
        <is>
          <t>양호 : 화면 보호기를 설정하고 대기 시간이 10분 이하의 값으로 설정되어 있으며, 화면 보호기 해제를 위한 암호를 사용하는 경우
취약 : 화면 보호기가 설정되지 않았거나 암호를 사용하지 않거나, 화면 보호기 대기 시간이 10분을 초과한 값으로 설정된 경우</t>
        </is>
      </c>
      <c r="F52" s="14" t="inlineStr">
        <is>
          <t>양호</t>
        </is>
      </c>
      <c r="G52" s="2" t="inlineStr">
        <is>
          <t>- 판단기준의 '화면 보호기를 설정'(ScreenSaveActive=1) 조건을 충족함 — 점검내용 ScreenSaveActive=1 로 화면보호기가 활성화되어 있음
- 판단기준의 '해제를 위한 암호 사용'(IsSecure=1) 조건을 충족함 — 점검내용 IsSecure=1 로 암호 사용이 설정되어 있음
- 판단기준의 '대기 시간이 10분 이하' 조건을 충족함 — 점검내용 TimeOut=600(초)=10분으로 10분을 초과하지 않음
- 세 조건(설정/암호/10분 이하)을 모두 만족하므로 양호로 판정함</t>
        </is>
      </c>
      <c r="H52" s="14" t="inlineStr">
        <is>
          <t>양호</t>
        </is>
      </c>
      <c r="I52" s="2" t="inlineStr">
        <is>
          <t>- 판단기준의 '화면 보호기를 설정'(양호 조건) ↔ 점검내용 ScreenSaveActive=1 로 화면 보호기가 활성화되어 있음
- 판단기준의 '해제를 위한 암호를 사용'(양호 조건) ↔ 점검내용 IsSecure=1 로 암호 사용이 설정되어 있음
- 판단기준의 '대기 시간이 10분 이하'(양호 조건) ↔ 점검내용 TimeOut=600(초)=10분 으로 10분 이하 조건을 충족(초과 아님)
- 세 가지 양호 조건(설정/암호/대기시간 10분 이하)을 모두 만족하므로 양호로 판정</t>
        </is>
      </c>
    </row>
    <row r="53">
      <c r="B53" s="15" t="n"/>
      <c r="C53" s="9" t="inlineStr">
        <is>
          <t>W-48</t>
        </is>
      </c>
      <c r="D53" s="2" t="inlineStr">
        <is>
          <t>로그온하지 않고 시스템 종료 허용 해제</t>
        </is>
      </c>
      <c r="E53" s="2" t="inlineStr">
        <is>
          <t>양호 : “로그온하지 않고 시스템 종료 허용”이 “사용 안 함”으로 설정된 경우
취약 : “로그온하지 않고 시스템 종료 허용”이 “사용”으로 설정된 경우</t>
        </is>
      </c>
      <c r="F53" s="14" t="inlineStr">
        <is>
          <t>양호</t>
        </is>
      </c>
      <c r="G53" s="2" t="inlineStr">
        <is>
          <t>- 판단기준: '로그온하지 않고 시스템 종료 허용'이 '사용 안 함'으로 설정된 경우 양호, '사용'으로 설정된 경우 취약
- 점검내용(로우데이터): 점검파일 ShutdownWithoutLogon 값=0 으로 확인됨
- 레지스트리 값 0은 '사용 안 함(Disabled)'을 의미하므로 로그온하지 않은 상태에서의 시스템 종료가 차단됨
- 따라서 판단기준의 양호 조건(사용 안 함)에 부합하여 '양호'로 판정</t>
        </is>
      </c>
      <c r="H53" s="14" t="inlineStr">
        <is>
          <t>양호</t>
        </is>
      </c>
      <c r="I53" s="2" t="inlineStr">
        <is>
          <t>- 판단기준상 "로그온하지 않고 시스템 종료 허용"이 "사용 안 함"(레지스트리 값 0)일 때 양호이다.
- 점검내용(로우데이터)의 ShutdownWithoutLogon 값=0 으로, "사용 안 함" 상태에 해당한다.
- 따라서 로그온 없이 시스템 종료가 차단되어 있어 양호로 판정한다.</t>
        </is>
      </c>
    </row>
    <row r="54">
      <c r="B54" s="15" t="n"/>
      <c r="C54" s="9" t="inlineStr">
        <is>
          <t>W-49</t>
        </is>
      </c>
      <c r="D54" s="2" t="inlineStr">
        <is>
          <t>원격 시스템에서 강제로 시스템 종료 제한</t>
        </is>
      </c>
      <c r="E54" s="2" t="inlineStr">
        <is>
          <t>양호 : “원격 시스템에서 강제로 시스템 종료” 정책에 “Administrators”만 존재하는 경우
취약 : “원격 시스템에서 강제로 시스템 종료” 정책에 “Administrators” 외 다른 계정 및 그룹이 존재하 는 경우</t>
        </is>
      </c>
      <c r="F54" s="14" t="inlineStr">
        <is>
          <t>양호</t>
        </is>
      </c>
      <c r="G54" s="2" t="inlineStr">
        <is>
          <t>- 판단기준의 양호 조건은 "원격 시스템에서 강제로 시스템 종료(SeRemoteShutdownPrivilege)" 정책에 'Administrators'만 존재하는 경우임
- 점검내용(로우데이터)에는 'BUILTIN\Administrators [*S-1-5-32-544]' 한 항목만 존재하며, 이는 표준 관리자 그룹(SID S-1-5-32-544)에 정확히 매칭됨
- Administrators 외 다른 계정·그룹(Everyone, Users, Backup Operators 등) 항목이 발견되지 않아 화이트리스트 차집합상 의심 항목이 없음</t>
        </is>
      </c>
      <c r="H54" s="14" t="inlineStr">
        <is>
          <t>양호</t>
        </is>
      </c>
      <c r="I54" s="2" t="inlineStr">
        <is>
          <t>- 판단기준의 양호 조건은 '원격 시스템에서 강제로 시스템 종료(SeRemoteShutdownPrivilege)' 정책에 'Administrators'만 존재하는 경우임
- 점검내용 로우데이터에 'BUILTIN\Administrators [*S-1-5-32-544]' 한 항목만 존재하며, Administrators 외 다른 계정/그룹은 확인되지 않음
- Administrators 외 비표준 계정·그룹(예: Everyone, Users, Backup Operators 등) 이상치가 없으므로 양호로 판정함</t>
        </is>
      </c>
    </row>
    <row r="55">
      <c r="B55" s="15" t="n"/>
      <c r="C55" s="9" t="inlineStr">
        <is>
          <t>W-50</t>
        </is>
      </c>
      <c r="D55" s="2" t="inlineStr">
        <is>
          <t>보안 감사를 로그할 수 없는 경우 즉시 시스템 종료</t>
        </is>
      </c>
      <c r="E55" s="2" t="inlineStr">
        <is>
          <t>양호 : “보안 감사를 로그 할 수 없는 경우 즉시 시스템 종료” 정책이 “사용 안 함”으로 되어있는 경우
취약 : “보안 감사를 로그 할 수 없는 경우</t>
        </is>
      </c>
      <c r="F55" s="14" t="inlineStr">
        <is>
          <t>양호</t>
        </is>
      </c>
      <c r="G55" s="2" t="inlineStr">
        <is>
          <t>- 판단기준은 'Lsa\CrashOnAuditFail' 정책이 '사용 안 함'(값 0)일 때 양호로 규정함
- 점검내용(로우데이터)의 '값=0'은 CrashOnAuditFail 레지스트리 값이 0, 즉 '보안 감사를 로그 할 수 없는 경우 즉시 시스템 종료' 정책이 '사용 안 함'으로 설정되어 있음을 의미함
- 따라서 양호 조건에 정확히 부합하며, 감사 로그 실패 시 시스템이 강제 종료되지 않으므로 가용성 측면에서도 안전함</t>
        </is>
      </c>
      <c r="H55" s="14" t="inlineStr">
        <is>
          <t>양호</t>
        </is>
      </c>
      <c r="I55" s="2" t="inlineStr">
        <is>
          <t>- 판단기준상 '보안 감사를 로그 할 수 없는 경우 즉시 시스템 종료' 정책이 '사용 안 함'이면 양호이며, 점검파일 Lsa\CrashOnAuditFail 의 값이 0 인 경우가 곧 '사용 안 함' 상태에 해당함
- 점검내용(로우데이터) '값=0' 이 확인되어 CrashOnAuditFail 이 비활성화되어 있으므로, 감사 로그 실패 시 시스템이 강제 종료되지 않는 정상 설정임
- 따라서 판단기준의 양호 조건을 충족하여 '양호'로 판정함</t>
        </is>
      </c>
    </row>
    <row r="56">
      <c r="B56" s="15" t="n"/>
      <c r="C56" s="9" t="inlineStr">
        <is>
          <t>W-51</t>
        </is>
      </c>
      <c r="D56" s="2" t="inlineStr">
        <is>
          <t>SAM 계정과 공유의 익명 열거 허용 안 함</t>
        </is>
      </c>
      <c r="E56" s="2" t="inlineStr">
        <is>
          <t>양호 : “SAM 계정과 공유의 익명 열거 허용 안 함”이 “사용”으로 설정된 경우
취약 : “SAM 계정과 공유의 익명 열거 허용 안 함”이 “사용 안 함”으로 설정된 경우</t>
        </is>
      </c>
      <c r="F56" s="14" t="inlineStr">
        <is>
          <t>양호</t>
        </is>
      </c>
      <c r="G56" s="2" t="inlineStr">
        <is>
          <t>- 판단기준의 양호 조건(‘SAM 계정과 공유의 익명 열거 허용 안 함’이 ‘사용’으로 설정)은 레지스트리 값 RestrictAnonymousSAM=1(및 RestrictAnonymous=1)로 구현된다.
- 점검내용 라인 ‘RestrictAnonymousSAM=1’은 SAM 계정의 익명 열거를 제한(사용)하도록 설정되어 있어 양호 조건에 부합한다.
- 함께 제시된 ‘RestrictAnonymous=1’ 역시 익명 연결 제한이 적용되어 있어 익명 열거 허용 안 함이 활성화된 상태이다.
- 두 값 모두 0(사용 안 함)이 아니므로 취약 조건에 해당하지 않는다.</t>
        </is>
      </c>
      <c r="H56" s="14" t="inlineStr">
        <is>
          <t>양호</t>
        </is>
      </c>
      <c r="I56" s="2" t="inlineStr">
        <is>
          <t>- 판단기준의 양호 조건은 'SAM 계정과 공유의 익명 열거 허용 안 함'이 '사용'으로 설정된 경우이며, 이는 레지스트리 값 RestrictAnonymousSAM=1(및 RestrictAnonymous=1)에 해당함
- 점검내용 원시 라인 'RestrictAnonymous=1 / RestrictAnonymousSAM=1' 에서 두 값 모두 1로 설정되어 익명 열거가 제한(사용)되어 있음을 확인함
- 취약 조건인 '사용 안 함'(값 0)에 해당하는 항목이 없으므로 양호로 판정함</t>
        </is>
      </c>
    </row>
    <row r="57">
      <c r="B57" s="15" t="n"/>
      <c r="C57" s="9" t="inlineStr">
        <is>
          <t>W-52</t>
        </is>
      </c>
      <c r="D57" s="2" t="inlineStr">
        <is>
          <t>Autologon 기능 제어</t>
        </is>
      </c>
      <c r="E57" s="2" t="inlineStr">
        <is>
          <t>양호 : AutoAdminLogon 값이 없거나 0으로 설정된 경우
취약 : AutoAdminLogon 값이 1로 설정된 경우</t>
        </is>
      </c>
      <c r="F57" s="14" t="inlineStr">
        <is>
          <t>양호</t>
        </is>
      </c>
      <c r="G57" s="2" t="inlineStr">
        <is>
          <t>- 판단기준상 'AutoAdminLogon 값이 없거나 0으로 설정된 경우'를 양호로 본다.
- 점검내용(로우데이터)의 '값=(미설정)'은 Winlogon\AutoAdminLogon 레지스트리 값이 존재하지 않음(미설정)을 의미하므로 '값이 없는 경우'에 해당한다.
- 값이 1로 설정된 취약 조건에 해당하지 않으므로 Autologon 기능이 활성화되어 있지 않아 양호로 판정한다.</t>
        </is>
      </c>
      <c r="H57" s="14" t="inlineStr">
        <is>
          <t>양호</t>
        </is>
      </c>
      <c r="I57" s="2" t="inlineStr">
        <is>
          <t>- 판단기준의 양호 조건은 'AutoAdminLogon 값이 없거나 0으로 설정된 경우'임
- 점검내용(로우데이터)의 '값=(미설정)' 라인은 Winlogon\AutoAdminLogon 레지스트리 값이 존재하지 않음을 의미함
- 값이 1로 설정된 취약 조건에 해당하지 않으며, '값 없음'은 양호 조건에 정확히 부합하므로 자동 로그온이 비활성화된 상태로 판정함</t>
        </is>
      </c>
    </row>
    <row r="58">
      <c r="B58" s="15" t="n"/>
      <c r="C58" s="9" t="inlineStr">
        <is>
          <t>W-53</t>
        </is>
      </c>
      <c r="D58" s="2" t="inlineStr">
        <is>
          <t>이동식 미디어 포맷 및 꺼내기 허용 제한</t>
        </is>
      </c>
      <c r="E58" s="2" t="inlineStr">
        <is>
          <t>양호 : “이동식 미디어 포맷 및 꺼내기 허용” 정책이 “Administrators”로 되어있는 경우
취약 : “이동식 미디어 포맷 및 꺼내기 허용” 정책이 “Administrators”로 되어있지 않은 경우</t>
        </is>
      </c>
      <c r="F58" s="14" t="inlineStr">
        <is>
          <t>양호</t>
        </is>
      </c>
      <c r="G58" s="2" t="inlineStr">
        <is>
          <t>- 판단기준은 '이동식 미디어 포맷 및 꺼내기 허용' 정책이 'Administrators'로 설정된 경우를 양호로 본다.
- 점검파일 Winlogon\AllocateDASD의 레지스트리 값은 0=Administrators, 1=Administrators and Power Users, 2=Administrators and Interactive Users 를 의미한다.
- 점검내용 로우데이터가 '값=0'이므로 해당 정책이 'Administrators'로만 허용되도록 설정되어 있어 판단기준의 양호 조건과 일치한다.</t>
        </is>
      </c>
      <c r="H58" s="14" t="inlineStr">
        <is>
          <t>양호</t>
        </is>
      </c>
      <c r="I58" s="2" t="inlineStr">
        <is>
          <t>- 판단기준의 '양호' 조건은 '이동식 미디어 포맷 및 꺼내기 허용' 정책이 'Administrators'로 설정된 경우임
- 점검파일 Winlogon\AllocateDASD 의 레지스트리 값은 0 으로, 0 은 'Administrators'만 포맷 및 꺼내기를 허용하는 설정값에 해당함 (1=Administrators 및 Power Users, 2=Administrators·Power Users·Interactive Users)
- 따라서 값=0 은 'Administrators'로 제한된 상태이므로 양호로 판정함</t>
        </is>
      </c>
    </row>
    <row r="59">
      <c r="B59" s="15" t="n"/>
      <c r="C59" s="9" t="inlineStr">
        <is>
          <t>W-54</t>
        </is>
      </c>
      <c r="D59" s="2" t="inlineStr">
        <is>
          <t>DoS 공격 방어 레지스트리 설정</t>
        </is>
      </c>
      <c r="E59" s="2" t="inlineStr">
        <is>
          <t>양호 : 아래 4가지 DoS 방어 레지스트리를 설정한 경우 Ÿ SynAttackProtect → 1이상 Ÿ EnableDeadGWDetect → 0 Ÿ KeepAliveTime → 300,000 Ÿ NoNameReleaseOnDemand → 1
취약 : DoS 방어 레지스트리 값이 설정되어 있지 않은 경우</t>
        </is>
      </c>
      <c r="F59" s="14" t="inlineStr">
        <is>
          <t>양호</t>
        </is>
      </c>
      <c r="G59" s="2" t="inlineStr">
        <is>
          <t>- 판단기준의 SynAttackProtect → 1이상 조건 ↔ 점검내용 'SynAttackProtect=1'로 충족
- 판단기준의 EnableDeadGWDetect → 0 조건 ↔ 점검내용 'EnableDeadGWDetect=0'으로 충족
- 판단기준의 KeepAliveTime → 300,000 조건 ↔ 점검내용 'KeepAliveTime=300000'으로 충족
- 판단기준의 NoNameReleaseOnDemand → 1 조건 ↔ 점검내용 'NoNameReleaseOnDemand=1'로 충족
- 4가지 DoS 방어 레지스트리가 모두 권장값으로 설정되어 있으므로 양호로 판정</t>
        </is>
      </c>
      <c r="H59" s="14" t="inlineStr">
        <is>
          <t>양호</t>
        </is>
      </c>
      <c r="I59" s="2" t="inlineStr">
        <is>
          <t>- 판단기준의 SynAttackProtect → 1이상 조건과 점검내용의 SynAttackProtect=1 이 일치함
- 판단기준의 EnableDeadGWDetect → 0 조건과 점검내용의 EnableDeadGWDetect=0 이 일치함
- 판단기준의 KeepAliveTime → 300,000 조건과 점검내용의 KeepAliveTime=300000 이 일치함
- 판단기준의 NoNameReleaseOnDemand → 1 조건과 점검내용의 NoNameReleaseOnDemand=1 이 일치함
- DoS 방어 레지스트리 4가지가 모두 권고값으로 설정되어 있어 양호로 판정함</t>
        </is>
      </c>
    </row>
    <row r="60">
      <c r="B60" s="15" t="n"/>
      <c r="C60" s="9" t="inlineStr">
        <is>
          <t>W-55</t>
        </is>
      </c>
      <c r="D60" s="2" t="inlineStr">
        <is>
          <t>사용자가 프린터 드라이버를 설치할 수 없게 함</t>
        </is>
      </c>
      <c r="E60" s="2" t="inlineStr">
        <is>
          <t>양호 : “사용자가 프린터 드라이버를 설치할 수 없게 함” 정책이 “사용”인 경우
취약 : “사용자가 프린터 드라이버를 설치할 수 없게 함” 정책이 “사용 안 함”인 경우</t>
        </is>
      </c>
      <c r="F60" s="18" t="inlineStr">
        <is>
          <t>취약</t>
        </is>
      </c>
      <c r="G60" s="2" t="inlineStr">
        <is>
          <t>- 판단기준상 '사용자가 프린터 드라이버를 설치할 수 없게 함' 정책이 '사용'(레지스트리 AddPrinterDrivers 값=1)이면 양호, '사용 안 함'(값=0)이면 취약임
- 점검내용 로우데이터의 'AddPrinterDrivers 값=0'은 해당 정책이 '사용 안 함' 상태임을 의미함
- 즉 일반 사용자가 프린터 드라이버를 설치할 수 있는 상태이므로 취약 조건에 해당함</t>
        </is>
      </c>
      <c r="H60" s="14" t="inlineStr">
        <is>
          <t>양호</t>
        </is>
      </c>
      <c r="I60" s="2" t="inlineStr">
        <is>
          <t>- 판단기준상 '사용자가 프린터 드라이버를 설치할 수 없게 함' 정책이 '사용'이면 양호인데, 점검내용 원시 라인이 '값=1'로 정책이 사용(활성화) 상태임
- 레지스트리 값 AddPrinterDrivers=1 은 해당 보안 정책이 '사용'으로 설정되었음을 의미하므로 양호 조건에 부합함
- '사용 안 함'(값=0)에 해당하는 취약 조건이 아니므로 취약·N/A 사유 없음</t>
        </is>
      </c>
    </row>
    <row r="61">
      <c r="B61" s="15" t="n"/>
      <c r="C61" s="9" t="inlineStr">
        <is>
          <t>W-56</t>
        </is>
      </c>
      <c r="D61" s="2" t="inlineStr">
        <is>
          <t>SMB 세션 중단 관리 설정</t>
        </is>
      </c>
      <c r="E61" s="2" t="inlineStr">
        <is>
          <t>양호 : “로그온 시간이 만료되면 클라이언트 연결 끊기” 정책을 “사용”으로, “세션 연결을 중단하기 전에 필요한 유휴 시간” 정책을 “15분” 이하로 설정한 경우
취약 : “로그온 시간이 만료되면 클라이언트 연결 끊기” 정책이 “사용 안 함” 또는 “세션 연결을 중단하기 전에 필요한 유휴 시간” 정책이 “15분” 초과로 설정한 경우</t>
        </is>
      </c>
      <c r="F61" s="14" t="inlineStr">
        <is>
          <t>양호</t>
        </is>
      </c>
      <c r="G61" s="2" t="inlineStr">
        <is>
          <t>- 판단기준의 “로그온 시간이 만료되면 클라이언트 연결 끊기” 정책이 “사용”이어야 한다는 조건 ↔ 점검내용의 EnableForcedLogOff=사용 으로 일치함
- 판단기준의 “세션 연결을 중단하기 전에 필요한 유휴 시간” 정책이 “15분” 이하여야 한다는 조건 ↔ 점검내용의 AutoDisconnect=15분 으로 15분 이하 조건 충족
- 두 정책 모두 양호 기준을 만족하므로 종합 판정은 양호임</t>
        </is>
      </c>
      <c r="H61" s="14" t="inlineStr">
        <is>
          <t>양호</t>
        </is>
      </c>
      <c r="I61" s="2" t="inlineStr">
        <is>
          <t>- 판단기준의 '로그온 시간이 만료되면 클라이언트 연결 끊기' 정책을 '사용'으로 설정해야 하는 조건 ↔ 점검내용의 'EnableForcedLogOff=사용' 라인이 일치하여 충족함
- 판단기준의 '세션 연결을 중단하기 전에 필요한 유휴 시간' 정책을 '15분' 이하로 설정해야 하는 조건 ↔ 점검내용의 'AutoDisconnect=15분' 라인이 15분 이하(경계값 포함)에 해당하여 충족함
- 두 정책 모두 양호 조건을 만족하며, 취약 조건('사용 안 함' 또는 '15분 초과')에 해당하는 값이 없으므로 양호로 판정함</t>
        </is>
      </c>
    </row>
    <row r="62">
      <c r="B62" s="15" t="n"/>
      <c r="C62" s="9" t="inlineStr">
        <is>
          <t>W-57</t>
        </is>
      </c>
      <c r="D62" s="2" t="inlineStr">
        <is>
          <t>로그온 시 경고 메시지 설정</t>
        </is>
      </c>
      <c r="E62" s="2" t="inlineStr">
        <is>
          <t>양호 : 로그인 경고 메시지 제목 및 내용이 설정된 경우
취약 : 로그인 경고 메시지 제목 및 내용이 설정되어 있지 않은 경우</t>
        </is>
      </c>
      <c r="F62" s="14" t="inlineStr">
        <is>
          <t>양호</t>
        </is>
      </c>
      <c r="G62" s="2" t="inlineStr">
        <is>
          <t>- 판단기준의 '양호' 조건은 로그인 경고 메시지의 제목(Caption)과 내용(Text)이 모두 설정된 경우임
- 점검내용(로우데이터)에서 Caption='warning' 으로 경고 메시지 제목이 설정되어 있음
- 점검내용(로우데이터)에서 Text 설정됨 으로 경고 메시지 내용도 설정되어 있음
- 제목과 내용이 모두 설정되어 있어 '양호'로 판정함</t>
        </is>
      </c>
      <c r="H62" s="14" t="inlineStr">
        <is>
          <t>양호</t>
        </is>
      </c>
      <c r="I62" s="2" t="inlineStr">
        <is>
          <t>- 판단기준의 '양호: 로그인 경고 메시지 제목 및 내용이 설정된 경우'에 대응하여, 점검내용에서 Caption='warning'으로 경고 메시지 제목(LegalNoticeCaption)이 설정되어 있음
- 판단기준의 '내용 설정' 조건에 대응하여, 점검내용에서 Text(LegalNoticeText)가 '설정됨'으로 표기되어 메시지 본문이 설정되어 있음
- 제목과 내용이 모두 설정되어 있으므로 로그온 시 경고 메시지 설정 항목은 양호로 판정함</t>
        </is>
      </c>
    </row>
    <row r="63">
      <c r="B63" s="15" t="n"/>
      <c r="C63" s="9" t="inlineStr">
        <is>
          <t>W-58</t>
        </is>
      </c>
      <c r="D63" s="2" t="inlineStr">
        <is>
          <t>사용자별 홈 디렉터리 권한 설정</t>
        </is>
      </c>
      <c r="E63" s="2" t="inlineStr">
        <is>
          <t>양호 : 홈 디렉터리에 Everyone 권한이 없는 경우 (All Users, Default User 디렉터리 제외)
취약 : 홈 디렉터리에 Everyone 권한이 있는 경우</t>
        </is>
      </c>
      <c r="F63" s="14" t="inlineStr">
        <is>
          <t>양호</t>
        </is>
      </c>
      <c r="G63" s="2" t="inlineStr">
        <is>
          <t>- 판단기준(양호): 홈 디렉터리에 Everyone 권한이 없는 경우 → 점검내용의 'C:\Users\Administrator : Everyone 권한 없음' 라인과 일치한다.
- 점검 대상 사용자 디렉터리는 Administrator 1개이며, 해당 디렉터리에 Everyone 권한이 부여되어 있지 않음을 원시 라인으로 확인했다.
- All Users, Default User 등 제외 대상 외에 Everyone 권한이 설정된 비표준 홈 디렉터리(이상치)는 발견되지 않았다.</t>
        </is>
      </c>
      <c r="H63" s="14" t="inlineStr">
        <is>
          <t>양호</t>
        </is>
      </c>
      <c r="I63" s="2" t="inlineStr">
        <is>
          <t>- 판단기준의 '양호: 홈 디렉터리에 Everyone 권한이 없는 경우'에 해당함
- 점검내용에서 C:\Users 사용자 디렉터리는 1개(C:\Users\Administrator)이며, 해당 라인이 'Everyone 권한 없음'으로 명시됨
- Everyone 권한이 부여된 홈 디렉터리가 존재하지 않으므로 취약 조건에 해당하지 않음</t>
        </is>
      </c>
    </row>
    <row r="64">
      <c r="B64" s="15" t="n"/>
      <c r="C64" s="9" t="inlineStr">
        <is>
          <t>W-59</t>
        </is>
      </c>
      <c r="D64" s="2" t="inlineStr">
        <is>
          <t>LAN Manager 인증 수준</t>
        </is>
      </c>
      <c r="E64" s="2" t="inlineStr">
        <is>
          <t>양호 : "LAN Manager 인증 수준" 정책에 "NTLMv2 응답만 보냄"이 설정되어 있는 경우
취약 : "LAN Manager 인증 수준" 정책에 "LM" 및 "NTLM"인증이 설정되어 있는 경우</t>
        </is>
      </c>
      <c r="F64" s="14" t="inlineStr">
        <is>
          <t>양호</t>
        </is>
      </c>
      <c r="G64" s="2" t="inlineStr">
        <is>
          <t>- 판단기준의 양호 조건은 "LAN Manager 인증 수준" 정책이 "NTLMv2 응답만 보냄"으로 설정된 경우이며, 이는 LmCompatibilityLevel 레지스트리 값이 3인 상태에 해당함
- 점검내용(로우데이터)의 '값=3'은 LmCompatibilityLevel=3 으로, 클라이언트가 NTLMv2 응답만 전송하고 LM 및 NTLM 인증은 거부하는 설정임
- 취약 조건인 LM 및 NTLM 인증 허용 수준(값 0~2)에 해당하지 않으므로 양호로 판정함</t>
        </is>
      </c>
      <c r="H64" s="14" t="inlineStr">
        <is>
          <t>양호</t>
        </is>
      </c>
      <c r="I64" s="2" t="inlineStr">
        <is>
          <t>- 판단기준의 양호 조건은 LmCompatibilityLevel 값이 "NTLMv2 응답만 보냄"으로 설정된 경우이며, 이는 레지스트리 값 3 또는 그 이상(4·5)에 해당함
- 점검내용 로우데이터의 값=3 은 "NTLMv2 응답만 보냄(LM 및 NTLM 거부 안 함)" 수준으로, LM·NTLM 인증을 사용하지 않고 NTLMv2 응답만 전송하도록 설정된 상태임
- 취약 조건인 LM/NTLM 인증 사용(값 0·1·2)에 해당하지 않으므로 양호로 판정함</t>
        </is>
      </c>
    </row>
    <row r="65">
      <c r="B65" s="15" t="n"/>
      <c r="C65" s="9" t="inlineStr">
        <is>
          <t>W-60</t>
        </is>
      </c>
      <c r="D65" s="2" t="inlineStr">
        <is>
          <t>보안 채널 데이터 디지털 암호화 또는 서명</t>
        </is>
      </c>
      <c r="E65" s="2" t="inlineStr">
        <is>
          <t>양호 : 아래 3가지 정책 모두 “사용"으로 되어있는 경우 Ÿ 도메인 구성원: 보안 채널 데이터를 디지털 암호화 또는 서명(항상) Ÿ 도메인 구성원: 보안 채널 데이터를 디지털 암호화(가능한 경우) Ÿ 도메인 구성원: 보안 채널 데이터 디지털 서명(가능한 경우)
취약 : 아래 3가지 정책 중 일부가 "사용 안 함"으로 되어있는 경우</t>
        </is>
      </c>
      <c r="F65" s="14" t="inlineStr">
        <is>
          <t>양호</t>
        </is>
      </c>
      <c r="G65" s="2" t="inlineStr">
        <is>
          <t>- 판단기준(양호)은 보안 채널 데이터 디지털 암호화/서명 관련 3가지 정책이 모두 '사용'으로 설정되어 있어야 함을 요구함
- 점검파일 Netlogon\RequireSignOrSeal 의 점검내용(로우데이터)이 '값=1'로 확인됨 (1=사용/Enabled, 0=사용 안 함)
- RequireSignOrSeal=1 은 보안 채널 데이터의 디지털 서명 또는 암호화를 항상 요구하도록 강제하는 설정으로, '사용 안 함(0)'에 해당하지 않으므로 취약 조건에 해당하지 않음
- 따라서 보안 채널 데이터 디지털 암호화/서명 정책이 활성화된 상태로 판단되어 양호</t>
        </is>
      </c>
      <c r="H65" s="14" t="inlineStr">
        <is>
          <t>양호</t>
        </is>
      </c>
      <c r="I65" s="2" t="inlineStr">
        <is>
          <t>- 판단기준은 보안 채널 데이터 관련 3가지 정책(디지털 암호화 또는 서명(항상), 디지털 암호화(가능한 경우), 디지털 서명(가능한 경우))이 모두 '사용'으로 설정되어야 양호로 본다.
- 점검파일 Netlogon\RequireSignOrSeal 항목의 점검내용(로우데이터) '값=1'은 보안 채널 서명/암호화 요구 정책이 '사용(활성화)'된 상태를 의미한다.
- RequireSignOrSeal 레지스트리 값이 1로 설정되어 보안 채널 데이터 디지털 암호화/서명이 적용되고 있으므로 양호로 판정한다.</t>
        </is>
      </c>
    </row>
    <row r="66">
      <c r="B66" s="15" t="n"/>
      <c r="C66" s="9" t="inlineStr">
        <is>
          <t>W-61</t>
        </is>
      </c>
      <c r="D66" s="2" t="inlineStr">
        <is>
          <t>파일 및 디렉터리 보호</t>
        </is>
      </c>
      <c r="E66" s="2" t="inlineStr">
        <is>
          <t>양호 : NTFS 파일 시스템을 사용하는 경우
취약 : FAT 파일 시스템을 사용하는 경우</t>
        </is>
      </c>
      <c r="F66" s="14" t="inlineStr">
        <is>
          <t>양호</t>
        </is>
      </c>
      <c r="G66" s="2" t="inlineStr">
        <is>
          <t>- 판단기준상 NTFS 파일 시스템을 사용하는 경우 '양호'에 해당함
- 점검내용(로우데이터)의 'C: = NTFS' 라인에서 C 드라이브가 NTFS 파일 시스템으로 구성되어 있음을 확인함
- FAT 파일 시스템 사용 흔적이 없어 취약 조건에 해당하지 않음</t>
        </is>
      </c>
      <c r="H66" s="14" t="inlineStr">
        <is>
          <t>양호</t>
        </is>
      </c>
      <c r="I66" s="2" t="inlineStr">
        <is>
          <t>- 판단기준: NTFS 파일 시스템을 사용하는 경우 양호, FAT 파일 시스템을 사용하는 경우 취약
- 점검내용(로우데이터): 'C: = NTFS' 로 시스템 드라이브가 NTFS 파일 시스템으로 구성되어 있음
- FAT/FAT32 등 비NTFS 파일 시스템이 확인되지 않으므로 판단기준의 양호 조건에 부합</t>
        </is>
      </c>
    </row>
    <row r="67">
      <c r="B67" s="15" t="n"/>
      <c r="C67" s="9" t="inlineStr">
        <is>
          <t>W-62</t>
        </is>
      </c>
      <c r="D67" s="2" t="inlineStr">
        <is>
          <t>시작프로그램 목록 분석</t>
        </is>
      </c>
      <c r="E67" s="2" t="inlineStr">
        <is>
          <t>양호 : 시작 프로그램 목록을 정기적으로 검사하고 불필요한 서비스를 비활성화한 경우
취약 : 시작 프로그램 목록을 정기적으로 검사하지 않고, 부팅 시 불필요한 서비스도 실행되고 있는 경우</t>
        </is>
      </c>
      <c r="F67" s="16" t="inlineStr">
        <is>
          <t>N/A</t>
        </is>
      </c>
      <c r="G67" s="2" t="inlineStr">
        <is>
          <t>- 판단기준의 '불필요한 서비스가 부팅 시 실행되지 않는 경우'에 해당 ↔ 점검내용의 Run 키 등록 항목이 'SecurityHealth = C:\Windows\system32\SecurityHealthSystray.exe' 단 1개뿐임
- 등록된 SecurityHealthSystray.exe 는 Windows Defender(보안 센터) 트레이 아이콘으로, 시스템 디렉터리(C:\Windows\system32) 경로의 OS 표준 정상 구성요소에 해당 ↔ 비표준 경로·랜덤 파일명·사용자 홈 디렉터리 실행 숨김파일 등 의심 시작프로그램이 발견되지 않음
- RunOnce 키에도 등록 항목이 없으며, 화이트리스트(표준 OS 구성요소) 차집합으로 골라낼 이상치 항목이 0건이므로 불필요한 서비스의 부팅 시 자동실행이 확인되지 않음</t>
        </is>
      </c>
      <c r="H67" s="16" t="inlineStr">
        <is>
          <t>N/A</t>
        </is>
      </c>
      <c r="I67" s="2" t="inlineStr">
        <is>
          <t>- 판단기준의 '불필요한 서비스가 부팅 시 실행' 여부와 관련하여, 점검내용에 등록된 시작프로그램은 [Microsoft\Windows\CurrentVersion\Run] SecurityHealth = C:\Windows\system32\SecurityHealthSystray.exe 단 1개뿐임
- 해당 항목은 Windows 보안(Defender) 알림 트레이 아이콘을 띄우는 정상 OS 기본 구성요소이며, 경로도 표준 시스템 디렉터리(C:\Windows\system32)로 변조·비표준 실행 흔적이 없음
- 화이트리스트 차집합 관점에서 표준 패턴에 매칭되지 않는 의심 시작프로그램(비표준 경로·임시 폴더·사용자 홈의 비인가 실행 등)이 발견되지 않음
- 따라서 부팅 시 실행되는 불필요·악성 시작프로그램이 존재하지 않으므로 판단기준의 '양호' 조건에 부합함</t>
        </is>
      </c>
    </row>
    <row r="68">
      <c r="B68" s="15" t="n"/>
      <c r="C68" s="9" t="inlineStr">
        <is>
          <t>W-63</t>
        </is>
      </c>
      <c r="D68" s="2" t="inlineStr">
        <is>
          <t>도메인 컨트롤러 사용자 시간 동기화</t>
        </is>
      </c>
      <c r="E68" s="2" t="inlineStr">
        <is>
          <t>양호 : 컴퓨터 시계 동기화 최대 허용 오차값이 5분 이하인 경우
취약 : 컴퓨터 시계 동기화 최대 허용 오차값이 5분 초과인 경우</t>
        </is>
      </c>
      <c r="F68" s="16" t="inlineStr">
        <is>
          <t>N/A</t>
        </is>
      </c>
      <c r="G68" s="2" t="inlineStr">
        <is>
          <t>- 본 항목(W-63)은 '도메인 컨트롤러'에서 컴퓨터 시계 동기화 최대 허용 오차값(5분 이하)을 점검하는 항목으로, 도메인 컨트롤러가 점검 대상임
- 점검내용 로우데이터에 '역할=2(비 도메인 컨트롤러)'로 명시되어 있어, 해당 진단대상은 도메인 컨트롤러가 아님
- 따라서 도메인 컨트롤러를 전제로 하는 시간 동기화 정책 점검 대상이 아니므로 N/A로 판정함</t>
        </is>
      </c>
      <c r="H68" s="16" t="inlineStr">
        <is>
          <t>N/A</t>
        </is>
      </c>
      <c r="I68" s="2" t="inlineStr">
        <is>
          <t>- 판단기준은 도메인 컨트롤러에서 'Kerberos 정책 - 컴퓨터 시계 동기화 최대 허용 오차값'이 5분 이하인지 점검하는 항목임
- 점검내용(로우데이터)에 '역할=2(비 도메인 컨트롤러)'로 명시되어 있어, 본 서버는 도메인 컨트롤러가 아님
- W-63은 도메인 컨트롤러에서만 적용되는 점검 항목이므로 비 도메인 컨트롤러인 본 진단대상은 점검 대상이 아니어서 N/A로 판정함</t>
        </is>
      </c>
    </row>
    <row r="69">
      <c r="B69" s="15" t="n"/>
      <c r="C69" s="9" t="inlineStr">
        <is>
          <t>W-64</t>
        </is>
      </c>
      <c r="D69" s="2" t="inlineStr">
        <is>
          <t>윈도우 방화벽 설정</t>
        </is>
      </c>
      <c r="E69" s="2" t="inlineStr">
        <is>
          <t>양호 : Windows 방화벽 “사용”으로 설정된 경우
취약 : Windows 방화벽 “사용 안 함”으로 설정된 경우</t>
        </is>
      </c>
      <c r="F69" s="14" t="inlineStr">
        <is>
          <t>양호</t>
        </is>
      </c>
      <c r="G69" s="2" t="inlineStr">
        <is>
          <t>- 판단기준의 양호 조건은 Windows 방화벽이 "사용"으로 설정된 경우이며, 취약 조건은 "사용 안 함"으로 설정된 경우임
- 점검내용 원시 라인에 "프로필 Domain/Private/Public 모두 사용"으로 명시되어 있어, 도메인·개인·공용 세 프로필 모두 방화벽이 "사용" 상태임
- "사용 안 함"으로 설정된 프로필이 하나도 없으므로 취약 조건에 해당하지 않으며, 전 프로필이 사용으로 활성화되어 양호로 판정함</t>
        </is>
      </c>
      <c r="H69" s="14" t="inlineStr">
        <is>
          <t>양호</t>
        </is>
      </c>
      <c r="I69" s="2" t="inlineStr">
        <is>
          <t>- 판단기준의 양호 조건은 Windows 방화벽이 '사용'으로 설정된 경우임
- 점검내용 원시 라인 '프로필 Domain/Private/Public 모두 사용' 에서 세 프로필 전부 방화벽이 '사용' 상태로 확인됨
- 어느 프로필도 '사용 안 함' 상태가 없으므로 취약 조건에 해당하지 않음</t>
        </is>
      </c>
    </row>
  </sheetData>
  <mergeCells count="14">
    <mergeCell ref="H3:H5"/>
    <mergeCell ref="B43:B44"/>
    <mergeCell ref="B2:I2"/>
    <mergeCell ref="C3:C5"/>
    <mergeCell ref="G3:G5"/>
    <mergeCell ref="B6:B19"/>
    <mergeCell ref="E3:E5"/>
    <mergeCell ref="F3:F5"/>
    <mergeCell ref="D3:D5"/>
    <mergeCell ref="B3:B5"/>
    <mergeCell ref="B20:B42"/>
    <mergeCell ref="B45:B48"/>
    <mergeCell ref="I3:I5"/>
    <mergeCell ref="B49:B6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2026-06-29T07:22:07Z</dcterms:created>
  <dcterms:modified xsi:type="dcterms:W3CDTF">2026-06-29T07:22:07Z</dcterms:modified>
</cp:coreProperties>
</file>