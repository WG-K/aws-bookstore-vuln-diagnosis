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표지" sheetId="1" state="visible" r:id="rId1"/>
    <sheet name="1. 진단 대상" sheetId="2" state="visible" r:id="rId2"/>
    <sheet name="2-1. 요약결과(그래프)" sheetId="3" state="visible" r:id="rId3"/>
    <sheet name="2-2. 요약 진단결과" sheetId="4" state="visible" r:id="rId4"/>
    <sheet name="3-1. 진단 결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</font>
    <font>
      <b val="1"/>
      <sz val="28"/>
    </font>
    <font>
      <b val="1"/>
      <sz val="16"/>
    </font>
    <font>
      <sz val="12"/>
    </font>
    <font>
      <b val="1"/>
      <color rgb="00FFFFFF"/>
    </font>
    <font>
      <b val="1"/>
      <sz val="12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D9C4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CE4E4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radarChart>
        <radarStyle val="standard"/>
        <ser>
          <idx val="0"/>
          <order val="0"/>
          <tx>
            <strRef>
              <f>'2-1. 요약결과(그래프)'!C4</f>
            </strRef>
          </tx>
          <spPr>
            <a:ln w="28575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'2-1. 요약결과(그래프)'!$B$5:$B$9</f>
            </numRef>
          </cat>
          <val>
            <numRef>
              <f>'2-1. 요약결과(그래프)'!$C$5:$C$9</f>
            </numRef>
          </val>
        </ser>
        <axId val="10"/>
        <axId val="100"/>
      </rad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txPr>
          <a:bodyPr/>
          <a:p>
            <a:pPr>
              <a:defRPr sz="900">
                <a:solidFill>
                  <a:srgbClr val="BFBFBF"/>
                </a:solidFill>
              </a:defRPr>
            </a:pPr>
            <a:r>
              <a:t/>
            </a:r>
            <a:endParaRPr sz="900">
              <a:solidFill>
                <a:srgbClr val="BFBFBF"/>
              </a:solidFill>
            </a:endParaRPr>
          </a:p>
        </txPr>
        <crossAx val="10"/>
        <majorUnit val="0.2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xMode val="edge"/>
          <yMode val="edge"/>
          <wMode val="factor"/>
          <hMode val="factor"/>
          <x val="0.22"/>
          <y val="0.06"/>
          <w val="0.5600000000000001"/>
          <h val="0.72"/>
        </manualLayout>
      </layout>
      <pieChart>
        <varyColors val="1"/>
        <ser>
          <idx val="0"/>
          <order val="0"/>
          <tx>
            <strRef>
              <f>'2-1. 요약결과(그래프)'!C27</f>
            </strRef>
          </tx>
          <spPr>
            <a:ln>
              <a:prstDash val="solid"/>
            </a:ln>
          </spPr>
          <cat>
            <numRef>
              <f>'2-1. 요약결과(그래프)'!$B$28:$B$30</f>
            </numRef>
          </cat>
          <val>
            <numRef>
              <f>'2-1. 요약결과(그래프)'!$C$28:$C$30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varyColors val="1"/>
        <ser>
          <idx val="0"/>
          <order val="0"/>
          <tx>
            <strRef>
              <f>'2-1. 요약결과(그래프)'!C50</f>
            </strRef>
          </tx>
          <spPr>
            <a:ln>
              <a:prstDash val="solid"/>
            </a:ln>
          </spPr>
          <cat>
            <numRef>
              <f>'2-1. 요약결과(그래프)'!$B$51:$B$55</f>
            </numRef>
          </cat>
          <val>
            <numRef>
              <f>'2-1. 요약결과(그래프)'!$C$51:$C$55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5</col>
      <colOff>0</colOff>
      <row>3</row>
      <rowOff>0</rowOff>
    </from>
    <to>
      <col>11</col>
      <colOff>0</colOff>
      <row>22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5</col>
      <colOff>0</colOff>
      <row>26</row>
      <rowOff>0</rowOff>
    </from>
    <to>
      <col>11</col>
      <colOff>0</colOff>
      <row>45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49</row>
      <rowOff>0</rowOff>
    </from>
    <to>
      <col>11</col>
      <colOff>0</colOff>
      <row>68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30" customWidth="1" min="12" max="12"/>
  </cols>
  <sheetData>
    <row r="3" ht="22" customHeight="1">
      <c r="K3" s="1" t="inlineStr">
        <is>
          <t>문서번호</t>
        </is>
      </c>
      <c r="L3" s="2" t="inlineStr">
        <is>
          <t>CHECKBANG-VA-2026-001</t>
        </is>
      </c>
    </row>
    <row r="4" ht="22" customHeight="1">
      <c r="K4" s="1" t="inlineStr">
        <is>
          <t>작성자</t>
        </is>
      </c>
      <c r="L4" s="2" t="inlineStr">
        <is>
          <t>취약점진단팀</t>
        </is>
      </c>
    </row>
    <row r="5" ht="22" customHeight="1">
      <c r="K5" s="1" t="inlineStr">
        <is>
          <t>보안등급</t>
        </is>
      </c>
      <c r="L5" s="2" t="inlineStr">
        <is>
          <t>Confidential</t>
        </is>
      </c>
    </row>
    <row r="6" ht="22" customHeight="1">
      <c r="K6" s="1" t="inlineStr">
        <is>
          <t>Ver</t>
        </is>
      </c>
      <c r="L6" s="2" t="inlineStr">
        <is>
          <t>ver 1.0</t>
        </is>
      </c>
    </row>
    <row r="11" ht="40" customHeight="1">
      <c r="B11" s="3" t="inlineStr">
        <is>
          <t>Check방 취약점 진단</t>
        </is>
      </c>
    </row>
    <row r="13" ht="30" customHeight="1">
      <c r="B13" s="4" t="inlineStr">
        <is>
          <t>취약점 진단 상세결과</t>
        </is>
      </c>
    </row>
    <row r="18">
      <c r="B18" s="5" t="inlineStr">
        <is>
          <t>2026-06-29</t>
        </is>
      </c>
    </row>
  </sheetData>
  <mergeCells count="3">
    <mergeCell ref="B13:L13"/>
    <mergeCell ref="B11:L11"/>
    <mergeCell ref="B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3" customWidth="1" min="2" max="2"/>
    <col width="26" customWidth="1" min="3" max="3"/>
    <col width="12" customWidth="1" min="4" max="4"/>
    <col width="31" customWidth="1" min="5" max="5"/>
    <col width="6" customWidth="1" min="6" max="6"/>
    <col width="16" customWidth="1" min="7" max="7"/>
  </cols>
  <sheetData>
    <row r="1" ht="26" customHeight="1">
      <c r="B1" s="6" t="inlineStr">
        <is>
          <t xml:space="preserve">  ※ 진단 대상 리스트</t>
        </is>
      </c>
    </row>
    <row r="2">
      <c r="B2" s="7" t="inlineStr">
        <is>
          <t>순번</t>
        </is>
      </c>
      <c r="C2" s="7" t="inlineStr">
        <is>
          <t>진단 대상</t>
        </is>
      </c>
      <c r="D2" s="8" t="n"/>
      <c r="E2" s="8" t="n"/>
      <c r="F2" s="8" t="n"/>
      <c r="G2" s="7" t="inlineStr">
        <is>
          <t>비고</t>
        </is>
      </c>
    </row>
    <row r="3">
      <c r="B3" s="8" t="n"/>
      <c r="C3" s="7" t="inlineStr">
        <is>
          <t>Hostname</t>
        </is>
      </c>
      <c r="D3" s="7" t="inlineStr">
        <is>
          <t>IP Address</t>
        </is>
      </c>
      <c r="E3" s="7" t="inlineStr">
        <is>
          <t>버전정보</t>
        </is>
      </c>
      <c r="F3" s="7" t="inlineStr">
        <is>
          <t>용도</t>
        </is>
      </c>
      <c r="G3" s="8" t="n"/>
    </row>
    <row r="4" ht="24" customHeight="1">
      <c r="B4" s="9" t="n">
        <v>1</v>
      </c>
      <c r="C4" s="9" t="inlineStr">
        <is>
          <t>ip-10-0-9-57.ec2.internal</t>
        </is>
      </c>
      <c r="D4" s="9" t="inlineStr">
        <is>
          <t>10.0.9.57</t>
        </is>
      </c>
      <c r="E4" s="9" t="inlineStr">
        <is>
          <t>Amazon Linux 2023.11.20260514</t>
        </is>
      </c>
      <c r="F4" s="9" t="inlineStr"/>
      <c r="G4" s="9" t="inlineStr">
        <is>
          <t>-</t>
        </is>
      </c>
    </row>
  </sheetData>
  <mergeCells count="3">
    <mergeCell ref="C2:F2"/>
    <mergeCell ref="G2:G3"/>
    <mergeCell ref="B2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1" customWidth="1" min="3" max="3"/>
  </cols>
  <sheetData>
    <row r="2" ht="22" customHeight="1">
      <c r="F2" s="10" t="inlineStr">
        <is>
          <t>항목별 양호 비율</t>
        </is>
      </c>
      <c r="G2" s="11" t="n"/>
      <c r="H2" s="11" t="n"/>
      <c r="I2" s="11" t="n"/>
      <c r="J2" s="11" t="n"/>
      <c r="K2" s="11" t="n"/>
    </row>
    <row r="4">
      <c r="B4" s="7" t="inlineStr">
        <is>
          <t>진단 도메인</t>
        </is>
      </c>
      <c r="C4" s="7" t="inlineStr">
        <is>
          <t>평균 점수</t>
        </is>
      </c>
    </row>
    <row r="5">
      <c r="B5" s="9" t="inlineStr">
        <is>
          <t>계정 관리</t>
        </is>
      </c>
      <c r="C5" s="12">
        <f>'2-2. 요약 진단결과'!H6</f>
        <v/>
      </c>
    </row>
    <row r="6">
      <c r="B6" s="9" t="inlineStr">
        <is>
          <t>파일 및 디렉토리 관리</t>
        </is>
      </c>
      <c r="C6" s="12">
        <f>'2-2. 요약 진단결과'!H19</f>
        <v/>
      </c>
    </row>
    <row r="7">
      <c r="B7" s="9" t="inlineStr">
        <is>
          <t>서비스 관리</t>
        </is>
      </c>
      <c r="C7" s="12">
        <f>'2-2. 요약 진단결과'!H39</f>
        <v/>
      </c>
    </row>
    <row r="8">
      <c r="B8" s="9" t="inlineStr">
        <is>
          <t>패치 관리</t>
        </is>
      </c>
      <c r="C8" s="12">
        <f>'2-2. 요약 진단결과'!H69</f>
        <v/>
      </c>
    </row>
    <row r="9">
      <c r="B9" s="9" t="inlineStr">
        <is>
          <t>로그 관리</t>
        </is>
      </c>
      <c r="C9" s="12">
        <f>'2-2. 요약 진단결과'!H70</f>
        <v/>
      </c>
    </row>
    <row r="25" ht="22" customHeight="1">
      <c r="F25" s="10" t="inlineStr">
        <is>
          <t>양호 / 취약 / N/A 비율</t>
        </is>
      </c>
      <c r="G25" s="11" t="n"/>
      <c r="H25" s="11" t="n"/>
      <c r="I25" s="11" t="n"/>
      <c r="J25" s="11" t="n"/>
      <c r="K25" s="11" t="n"/>
    </row>
    <row r="27">
      <c r="B27" s="7" t="inlineStr">
        <is>
          <t>상태</t>
        </is>
      </c>
      <c r="C27" s="7" t="inlineStr">
        <is>
          <t>개수</t>
        </is>
      </c>
    </row>
    <row r="28">
      <c r="B28" s="9" t="inlineStr">
        <is>
          <t>양호</t>
        </is>
      </c>
      <c r="C28" s="9">
        <f>SUM('2-2. 요약 진단결과'!J6:J72)</f>
        <v/>
      </c>
    </row>
    <row r="29">
      <c r="B29" s="9" t="inlineStr">
        <is>
          <t>취약</t>
        </is>
      </c>
      <c r="C29" s="9">
        <f>SUM('2-2. 요약 진단결과'!K6:K72)</f>
        <v/>
      </c>
    </row>
    <row r="30">
      <c r="B30" s="9" t="inlineStr">
        <is>
          <t>N/A</t>
        </is>
      </c>
      <c r="C30" s="9">
        <f>SUM('2-2. 요약 진단결과'!L6:L72)</f>
        <v/>
      </c>
    </row>
    <row r="48" ht="22" customHeight="1">
      <c r="F48" s="10" t="inlineStr">
        <is>
          <t>영역별 취약 수</t>
        </is>
      </c>
      <c r="G48" s="11" t="n"/>
      <c r="H48" s="11" t="n"/>
      <c r="I48" s="11" t="n"/>
      <c r="J48" s="11" t="n"/>
      <c r="K48" s="11" t="n"/>
    </row>
    <row r="50">
      <c r="B50" s="7" t="inlineStr">
        <is>
          <t>영역</t>
        </is>
      </c>
      <c r="C50" s="7" t="inlineStr">
        <is>
          <t>취약 수</t>
        </is>
      </c>
    </row>
    <row r="51">
      <c r="B51" s="9" t="inlineStr">
        <is>
          <t>계정 관리</t>
        </is>
      </c>
      <c r="C51" s="9">
        <f>SUM('2-2. 요약 진단결과'!K6:K18)</f>
        <v/>
      </c>
    </row>
    <row r="52">
      <c r="B52" s="9" t="inlineStr">
        <is>
          <t>파일 및 디렉토리 관리</t>
        </is>
      </c>
      <c r="C52" s="9">
        <f>SUM('2-2. 요약 진단결과'!K19:K38)</f>
        <v/>
      </c>
    </row>
    <row r="53">
      <c r="B53" s="9" t="inlineStr">
        <is>
          <t>서비스 관리</t>
        </is>
      </c>
      <c r="C53" s="9">
        <f>SUM('2-2. 요약 진단결과'!K39:K68)</f>
        <v/>
      </c>
    </row>
    <row r="54">
      <c r="B54" s="9" t="inlineStr">
        <is>
          <t>패치 관리</t>
        </is>
      </c>
      <c r="C54" s="9">
        <f>SUM('2-2. 요약 진단결과'!K69:K69)</f>
        <v/>
      </c>
    </row>
    <row r="55">
      <c r="B55" s="9" t="inlineStr">
        <is>
          <t>로그 관리</t>
        </is>
      </c>
      <c r="C55" s="9">
        <f>SUM('2-2. 요약 진단결과'!K70:K72)</f>
        <v/>
      </c>
    </row>
  </sheetData>
  <mergeCells count="3">
    <mergeCell ref="F2:K2"/>
    <mergeCell ref="F25:K25"/>
    <mergeCell ref="F48:K4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6" customWidth="1" min="3" max="3"/>
    <col width="49" customWidth="1" min="4" max="4"/>
    <col width="10" customWidth="1" min="5" max="5"/>
    <col width="13" customWidth="1" min="6" max="6"/>
    <col width="2.5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/>
    <row r="2" ht="28" customHeight="1">
      <c r="B2" s="13" t="inlineStr">
        <is>
          <t>Check방 취약점 진단 요약 진단결과 (67항목)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중요도</t>
        </is>
      </c>
      <c r="F3" s="7" t="inlineStr">
        <is>
          <t>진단결과</t>
        </is>
      </c>
    </row>
    <row r="4">
      <c r="B4" s="8" t="n"/>
      <c r="C4" s="8" t="n"/>
      <c r="D4" s="8" t="n"/>
      <c r="E4" s="8" t="n"/>
      <c r="F4" s="7" t="inlineStr">
        <is>
          <t>Linux(amzn)</t>
        </is>
      </c>
    </row>
    <row r="5">
      <c r="B5" s="8" t="n"/>
      <c r="C5" s="8" t="n"/>
      <c r="D5" s="8" t="n"/>
      <c r="E5" s="8" t="n"/>
      <c r="F5" s="7" t="inlineStr">
        <is>
          <t>10.0.9.57</t>
        </is>
      </c>
      <c r="H5" s="7" t="inlineStr">
        <is>
          <t>영역별점수</t>
        </is>
      </c>
      <c r="I5" s="7" t="inlineStr">
        <is>
          <t>점수</t>
        </is>
      </c>
      <c r="J5" s="7" t="inlineStr">
        <is>
          <t>양호</t>
        </is>
      </c>
      <c r="K5" s="7" t="inlineStr">
        <is>
          <t>취약</t>
        </is>
      </c>
      <c r="L5" s="7" t="inlineStr">
        <is>
          <t>N/A</t>
        </is>
      </c>
    </row>
    <row r="6">
      <c r="B6" s="9" t="inlineStr">
        <is>
          <t>계정 관리</t>
        </is>
      </c>
      <c r="C6" s="9" t="inlineStr">
        <is>
          <t>U-01</t>
        </is>
      </c>
      <c r="D6" s="2" t="inlineStr">
        <is>
          <t>root 계정 원격 접속 제한</t>
        </is>
      </c>
      <c r="E6" s="9" t="inlineStr">
        <is>
          <t>상</t>
        </is>
      </c>
      <c r="F6" s="14" t="inlineStr">
        <is>
          <t>양호</t>
        </is>
      </c>
      <c r="H6" s="12">
        <f>IF(COUNTIF(I6:I18,"N/A")=COUNTA(I6:I18),"N/A",AVERAGE(I6:I18))</f>
        <v/>
      </c>
      <c r="I6" s="12">
        <f>IF(COUNTIF($F6:$F6,"N/A")=COUNTA($F6:$F6),"N/A",$J6/(COUNTA($F6:$F6)-$L6))</f>
        <v/>
      </c>
      <c r="J6" s="9">
        <f>COUNTIF($F6:$F6,"양호")</f>
        <v/>
      </c>
      <c r="K6" s="9">
        <f>COUNTIF($F6:$F6,"취약")</f>
        <v/>
      </c>
      <c r="L6" s="9">
        <f>COUNTIF($F6:$F6,"N/A")</f>
        <v/>
      </c>
    </row>
    <row r="7">
      <c r="B7" s="15" t="n"/>
      <c r="C7" s="9" t="inlineStr">
        <is>
          <t>U-02</t>
        </is>
      </c>
      <c r="D7" s="2" t="inlineStr">
        <is>
          <t>비밀번호 관리정책 설정</t>
        </is>
      </c>
      <c r="E7" s="9" t="inlineStr">
        <is>
          <t>상</t>
        </is>
      </c>
      <c r="F7" s="14" t="inlineStr">
        <is>
          <t>양호</t>
        </is>
      </c>
      <c r="H7" s="15" t="n"/>
      <c r="I7" s="12">
        <f>IF(COUNTIF($F7:$F7,"N/A")=COUNTA($F7:$F7),"N/A",$J7/(COUNTA($F7:$F7)-$L7))</f>
        <v/>
      </c>
      <c r="J7" s="9">
        <f>COUNTIF($F7:$F7,"양호")</f>
        <v/>
      </c>
      <c r="K7" s="9">
        <f>COUNTIF($F7:$F7,"취약")</f>
        <v/>
      </c>
      <c r="L7" s="9">
        <f>COUNTIF($F7:$F7,"N/A")</f>
        <v/>
      </c>
    </row>
    <row r="8">
      <c r="B8" s="15" t="n"/>
      <c r="C8" s="9" t="inlineStr">
        <is>
          <t>U-03</t>
        </is>
      </c>
      <c r="D8" s="2" t="inlineStr">
        <is>
          <t>계정 잠금 임계값 설정</t>
        </is>
      </c>
      <c r="E8" s="9" t="inlineStr">
        <is>
          <t>상</t>
        </is>
      </c>
      <c r="F8" s="14" t="inlineStr">
        <is>
          <t>양호</t>
        </is>
      </c>
      <c r="H8" s="15" t="n"/>
      <c r="I8" s="12">
        <f>IF(COUNTIF($F8:$F8,"N/A")=COUNTA($F8:$F8),"N/A",$J8/(COUNTA($F8:$F8)-$L8))</f>
        <v/>
      </c>
      <c r="J8" s="9">
        <f>COUNTIF($F8:$F8,"양호")</f>
        <v/>
      </c>
      <c r="K8" s="9">
        <f>COUNTIF($F8:$F8,"취약")</f>
        <v/>
      </c>
      <c r="L8" s="9">
        <f>COUNTIF($F8:$F8,"N/A")</f>
        <v/>
      </c>
    </row>
    <row r="9">
      <c r="B9" s="15" t="n"/>
      <c r="C9" s="9" t="inlineStr">
        <is>
          <t>U-04</t>
        </is>
      </c>
      <c r="D9" s="2" t="inlineStr">
        <is>
          <t>비밀번호 파일 보호</t>
        </is>
      </c>
      <c r="E9" s="9" t="inlineStr">
        <is>
          <t>상</t>
        </is>
      </c>
      <c r="F9" s="14" t="inlineStr">
        <is>
          <t>양호</t>
        </is>
      </c>
      <c r="H9" s="15" t="n"/>
      <c r="I9" s="12">
        <f>IF(COUNTIF($F9:$F9,"N/A")=COUNTA($F9:$F9),"N/A",$J9/(COUNTA($F9:$F9)-$L9))</f>
        <v/>
      </c>
      <c r="J9" s="9">
        <f>COUNTIF($F9:$F9,"양호")</f>
        <v/>
      </c>
      <c r="K9" s="9">
        <f>COUNTIF($F9:$F9,"취약")</f>
        <v/>
      </c>
      <c r="L9" s="9">
        <f>COUNTIF($F9:$F9,"N/A")</f>
        <v/>
      </c>
    </row>
    <row r="10">
      <c r="B10" s="15" t="n"/>
      <c r="C10" s="9" t="inlineStr">
        <is>
          <t>U-05</t>
        </is>
      </c>
      <c r="D10" s="2" t="inlineStr">
        <is>
          <t>root 이외의 UID '0' 금지</t>
        </is>
      </c>
      <c r="E10" s="9" t="inlineStr">
        <is>
          <t>상</t>
        </is>
      </c>
      <c r="F10" s="14" t="inlineStr">
        <is>
          <t>양호</t>
        </is>
      </c>
      <c r="H10" s="15" t="n"/>
      <c r="I10" s="12">
        <f>IF(COUNTIF($F10:$F10,"N/A")=COUNTA($F10:$F10),"N/A",$J10/(COUNTA($F10:$F10)-$L10))</f>
        <v/>
      </c>
      <c r="J10" s="9">
        <f>COUNTIF($F10:$F10,"양호")</f>
        <v/>
      </c>
      <c r="K10" s="9">
        <f>COUNTIF($F10:$F10,"취약")</f>
        <v/>
      </c>
      <c r="L10" s="9">
        <f>COUNTIF($F10:$F10,"N/A")</f>
        <v/>
      </c>
    </row>
    <row r="11">
      <c r="B11" s="15" t="n"/>
      <c r="C11" s="9" t="inlineStr">
        <is>
          <t>U-06</t>
        </is>
      </c>
      <c r="D11" s="2" t="inlineStr">
        <is>
          <t>사용자 계정 su 기능 제한</t>
        </is>
      </c>
      <c r="E11" s="9" t="inlineStr">
        <is>
          <t>하</t>
        </is>
      </c>
      <c r="F11" s="14" t="inlineStr">
        <is>
          <t>양호</t>
        </is>
      </c>
      <c r="H11" s="15" t="n"/>
      <c r="I11" s="12">
        <f>IF(COUNTIF($F11:$F11,"N/A")=COUNTA($F11:$F11),"N/A",$J11/(COUNTA($F11:$F11)-$L11))</f>
        <v/>
      </c>
      <c r="J11" s="9">
        <f>COUNTIF($F11:$F11,"양호")</f>
        <v/>
      </c>
      <c r="K11" s="9">
        <f>COUNTIF($F11:$F11,"취약")</f>
        <v/>
      </c>
      <c r="L11" s="9">
        <f>COUNTIF($F11:$F11,"N/A")</f>
        <v/>
      </c>
    </row>
    <row r="12">
      <c r="B12" s="15" t="n"/>
      <c r="C12" s="9" t="inlineStr">
        <is>
          <t>U-07</t>
        </is>
      </c>
      <c r="D12" s="2" t="inlineStr">
        <is>
          <t>불필요한 계정 제거</t>
        </is>
      </c>
      <c r="E12" s="9" t="inlineStr">
        <is>
          <t>하</t>
        </is>
      </c>
      <c r="F12" s="14" t="inlineStr">
        <is>
          <t>양호</t>
        </is>
      </c>
      <c r="H12" s="15" t="n"/>
      <c r="I12" s="12">
        <f>IF(COUNTIF($F12:$F12,"N/A")=COUNTA($F12:$F12),"N/A",$J12/(COUNTA($F12:$F12)-$L12))</f>
        <v/>
      </c>
      <c r="J12" s="9">
        <f>COUNTIF($F12:$F12,"양호")</f>
        <v/>
      </c>
      <c r="K12" s="9">
        <f>COUNTIF($F12:$F12,"취약")</f>
        <v/>
      </c>
      <c r="L12" s="9">
        <f>COUNTIF($F12:$F12,"N/A")</f>
        <v/>
      </c>
    </row>
    <row r="13">
      <c r="B13" s="15" t="n"/>
      <c r="C13" s="9" t="inlineStr">
        <is>
          <t>U-08</t>
        </is>
      </c>
      <c r="D13" s="2" t="inlineStr">
        <is>
          <t>관리자 그룹에 최소한의 계정 포함</t>
        </is>
      </c>
      <c r="E13" s="9" t="inlineStr">
        <is>
          <t>중</t>
        </is>
      </c>
      <c r="F13" s="14" t="inlineStr">
        <is>
          <t>양호</t>
        </is>
      </c>
      <c r="H13" s="15" t="n"/>
      <c r="I13" s="12">
        <f>IF(COUNTIF($F13:$F13,"N/A")=COUNTA($F13:$F13),"N/A",$J13/(COUNTA($F13:$F13)-$L13))</f>
        <v/>
      </c>
      <c r="J13" s="9">
        <f>COUNTIF($F13:$F13,"양호")</f>
        <v/>
      </c>
      <c r="K13" s="9">
        <f>COUNTIF($F13:$F13,"취약")</f>
        <v/>
      </c>
      <c r="L13" s="9">
        <f>COUNTIF($F13:$F13,"N/A")</f>
        <v/>
      </c>
    </row>
    <row r="14">
      <c r="B14" s="15" t="n"/>
      <c r="C14" s="9" t="inlineStr">
        <is>
          <t>U-09</t>
        </is>
      </c>
      <c r="D14" s="2" t="inlineStr">
        <is>
          <t>계정이 존재하지 않는 GID 금지</t>
        </is>
      </c>
      <c r="E14" s="9" t="inlineStr">
        <is>
          <t>하</t>
        </is>
      </c>
      <c r="F14" s="14" t="inlineStr">
        <is>
          <t>양호</t>
        </is>
      </c>
      <c r="H14" s="15" t="n"/>
      <c r="I14" s="12">
        <f>IF(COUNTIF($F14:$F14,"N/A")=COUNTA($F14:$F14),"N/A",$J14/(COUNTA($F14:$F14)-$L14))</f>
        <v/>
      </c>
      <c r="J14" s="9">
        <f>COUNTIF($F14:$F14,"양호")</f>
        <v/>
      </c>
      <c r="K14" s="9">
        <f>COUNTIF($F14:$F14,"취약")</f>
        <v/>
      </c>
      <c r="L14" s="9">
        <f>COUNTIF($F14:$F14,"N/A")</f>
        <v/>
      </c>
    </row>
    <row r="15">
      <c r="B15" s="15" t="n"/>
      <c r="C15" s="9" t="inlineStr">
        <is>
          <t>U-10</t>
        </is>
      </c>
      <c r="D15" s="2" t="inlineStr">
        <is>
          <t>동일한 UID 금지</t>
        </is>
      </c>
      <c r="E15" s="9" t="inlineStr">
        <is>
          <t>중</t>
        </is>
      </c>
      <c r="F15" s="14" t="inlineStr">
        <is>
          <t>양호</t>
        </is>
      </c>
      <c r="H15" s="15" t="n"/>
      <c r="I15" s="12">
        <f>IF(COUNTIF($F15:$F15,"N/A")=COUNTA($F15:$F15),"N/A",$J15/(COUNTA($F15:$F15)-$L15))</f>
        <v/>
      </c>
      <c r="J15" s="9">
        <f>COUNTIF($F15:$F15,"양호")</f>
        <v/>
      </c>
      <c r="K15" s="9">
        <f>COUNTIF($F15:$F15,"취약")</f>
        <v/>
      </c>
      <c r="L15" s="9">
        <f>COUNTIF($F15:$F15,"N/A")</f>
        <v/>
      </c>
    </row>
    <row r="16">
      <c r="B16" s="15" t="n"/>
      <c r="C16" s="9" t="inlineStr">
        <is>
          <t>U-11</t>
        </is>
      </c>
      <c r="D16" s="2" t="inlineStr">
        <is>
          <t>사용자 Shell 점검</t>
        </is>
      </c>
      <c r="E16" s="9" t="inlineStr">
        <is>
          <t>하</t>
        </is>
      </c>
      <c r="F16" s="14" t="inlineStr">
        <is>
          <t>양호</t>
        </is>
      </c>
      <c r="H16" s="15" t="n"/>
      <c r="I16" s="12">
        <f>IF(COUNTIF($F16:$F16,"N/A")=COUNTA($F16:$F16),"N/A",$J16/(COUNTA($F16:$F16)-$L16))</f>
        <v/>
      </c>
      <c r="J16" s="9">
        <f>COUNTIF($F16:$F16,"양호")</f>
        <v/>
      </c>
      <c r="K16" s="9">
        <f>COUNTIF($F16:$F16,"취약")</f>
        <v/>
      </c>
      <c r="L16" s="9">
        <f>COUNTIF($F16:$F16,"N/A")</f>
        <v/>
      </c>
    </row>
    <row r="17">
      <c r="B17" s="15" t="n"/>
      <c r="C17" s="9" t="inlineStr">
        <is>
          <t>U-12</t>
        </is>
      </c>
      <c r="D17" s="2" t="inlineStr">
        <is>
          <t>세션 종료 시간 설정</t>
        </is>
      </c>
      <c r="E17" s="9" t="inlineStr">
        <is>
          <t>하</t>
        </is>
      </c>
      <c r="F17" s="14" t="inlineStr">
        <is>
          <t>양호</t>
        </is>
      </c>
      <c r="H17" s="15" t="n"/>
      <c r="I17" s="12">
        <f>IF(COUNTIF($F17:$F17,"N/A")=COUNTA($F17:$F17),"N/A",$J17/(COUNTA($F17:$F17)-$L17))</f>
        <v/>
      </c>
      <c r="J17" s="9">
        <f>COUNTIF($F17:$F17,"양호")</f>
        <v/>
      </c>
      <c r="K17" s="9">
        <f>COUNTIF($F17:$F17,"취약")</f>
        <v/>
      </c>
      <c r="L17" s="9">
        <f>COUNTIF($F17:$F17,"N/A")</f>
        <v/>
      </c>
    </row>
    <row r="18">
      <c r="B18" s="15" t="n"/>
      <c r="C18" s="9" t="inlineStr">
        <is>
          <t>U-13</t>
        </is>
      </c>
      <c r="D18" s="2" t="inlineStr">
        <is>
          <t>안전한 비밀번호 암호화 알고리즘 사용</t>
        </is>
      </c>
      <c r="E18" s="9" t="inlineStr">
        <is>
          <t>중</t>
        </is>
      </c>
      <c r="F18" s="14" t="inlineStr">
        <is>
          <t>양호</t>
        </is>
      </c>
      <c r="H18" s="15" t="n"/>
      <c r="I18" s="12">
        <f>IF(COUNTIF($F18:$F18,"N/A")=COUNTA($F18:$F18),"N/A",$J18/(COUNTA($F18:$F18)-$L18))</f>
        <v/>
      </c>
      <c r="J18" s="9">
        <f>COUNTIF($F18:$F18,"양호")</f>
        <v/>
      </c>
      <c r="K18" s="9">
        <f>COUNTIF($F18:$F18,"취약")</f>
        <v/>
      </c>
      <c r="L18" s="9">
        <f>COUNTIF($F18:$F18,"N/A")</f>
        <v/>
      </c>
    </row>
    <row r="19">
      <c r="B19" s="9" t="inlineStr">
        <is>
          <t>파일 및 디렉토리 관리</t>
        </is>
      </c>
      <c r="C19" s="9" t="inlineStr">
        <is>
          <t>U-14</t>
        </is>
      </c>
      <c r="D19" s="2" t="inlineStr">
        <is>
          <t>root 홈, 패스 디렉터리 권한 및 패스 설정</t>
        </is>
      </c>
      <c r="E19" s="9" t="inlineStr">
        <is>
          <t>상</t>
        </is>
      </c>
      <c r="F19" s="14" t="inlineStr">
        <is>
          <t>양호</t>
        </is>
      </c>
      <c r="H19" s="12">
        <f>IF(COUNTIF(I19:I38,"N/A")=COUNTA(I19:I38),"N/A",AVERAGE(I19:I38))</f>
        <v/>
      </c>
      <c r="I19" s="12">
        <f>IF(COUNTIF($F19:$F19,"N/A")=COUNTA($F19:$F19),"N/A",$J19/(COUNTA($F19:$F19)-$L19))</f>
        <v/>
      </c>
      <c r="J19" s="9">
        <f>COUNTIF($F19:$F19,"양호")</f>
        <v/>
      </c>
      <c r="K19" s="9">
        <f>COUNTIF($F19:$F19,"취약")</f>
        <v/>
      </c>
      <c r="L19" s="9">
        <f>COUNTIF($F19:$F19,"N/A")</f>
        <v/>
      </c>
    </row>
    <row r="20">
      <c r="B20" s="15" t="n"/>
      <c r="C20" s="9" t="inlineStr">
        <is>
          <t>U-15</t>
        </is>
      </c>
      <c r="D20" s="2" t="inlineStr">
        <is>
          <t>파일 및 디렉터리 소유자 설정</t>
        </is>
      </c>
      <c r="E20" s="9" t="inlineStr">
        <is>
          <t>상</t>
        </is>
      </c>
      <c r="F20" s="14" t="inlineStr">
        <is>
          <t>양호</t>
        </is>
      </c>
      <c r="H20" s="15" t="n"/>
      <c r="I20" s="12">
        <f>IF(COUNTIF($F20:$F20,"N/A")=COUNTA($F20:$F20),"N/A",$J20/(COUNTA($F20:$F20)-$L20))</f>
        <v/>
      </c>
      <c r="J20" s="9">
        <f>COUNTIF($F20:$F20,"양호")</f>
        <v/>
      </c>
      <c r="K20" s="9">
        <f>COUNTIF($F20:$F20,"취약")</f>
        <v/>
      </c>
      <c r="L20" s="9">
        <f>COUNTIF($F20:$F20,"N/A")</f>
        <v/>
      </c>
    </row>
    <row r="21">
      <c r="B21" s="15" t="n"/>
      <c r="C21" s="9" t="inlineStr">
        <is>
          <t>U-16</t>
        </is>
      </c>
      <c r="D21" s="2" t="inlineStr">
        <is>
          <t>/etc/passwd 파일 소유자 및 권한 설정</t>
        </is>
      </c>
      <c r="E21" s="9" t="inlineStr">
        <is>
          <t>상</t>
        </is>
      </c>
      <c r="F21" s="14" t="inlineStr">
        <is>
          <t>양호</t>
        </is>
      </c>
      <c r="H21" s="15" t="n"/>
      <c r="I21" s="12">
        <f>IF(COUNTIF($F21:$F21,"N/A")=COUNTA($F21:$F21),"N/A",$J21/(COUNTA($F21:$F21)-$L21))</f>
        <v/>
      </c>
      <c r="J21" s="9">
        <f>COUNTIF($F21:$F21,"양호")</f>
        <v/>
      </c>
      <c r="K21" s="9">
        <f>COUNTIF($F21:$F21,"취약")</f>
        <v/>
      </c>
      <c r="L21" s="9">
        <f>COUNTIF($F21:$F21,"N/A")</f>
        <v/>
      </c>
    </row>
    <row r="22">
      <c r="B22" s="15" t="n"/>
      <c r="C22" s="9" t="inlineStr">
        <is>
          <t>U-17</t>
        </is>
      </c>
      <c r="D22" s="2" t="inlineStr">
        <is>
          <t>시스템 시작 스크립트 권한 설정</t>
        </is>
      </c>
      <c r="E22" s="9" t="inlineStr">
        <is>
          <t>상</t>
        </is>
      </c>
      <c r="F22" s="14" t="inlineStr">
        <is>
          <t>양호</t>
        </is>
      </c>
      <c r="H22" s="15" t="n"/>
      <c r="I22" s="12">
        <f>IF(COUNTIF($F22:$F22,"N/A")=COUNTA($F22:$F22),"N/A",$J22/(COUNTA($F22:$F22)-$L22))</f>
        <v/>
      </c>
      <c r="J22" s="9">
        <f>COUNTIF($F22:$F22,"양호")</f>
        <v/>
      </c>
      <c r="K22" s="9">
        <f>COUNTIF($F22:$F22,"취약")</f>
        <v/>
      </c>
      <c r="L22" s="9">
        <f>COUNTIF($F22:$F22,"N/A")</f>
        <v/>
      </c>
    </row>
    <row r="23">
      <c r="B23" s="15" t="n"/>
      <c r="C23" s="9" t="inlineStr">
        <is>
          <t>U-18</t>
        </is>
      </c>
      <c r="D23" s="2" t="inlineStr">
        <is>
          <t>/etc/shadow 파일 소유자 및 권한 설정</t>
        </is>
      </c>
      <c r="E23" s="9" t="inlineStr">
        <is>
          <t>상</t>
        </is>
      </c>
      <c r="F23" s="14" t="inlineStr">
        <is>
          <t>양호</t>
        </is>
      </c>
      <c r="H23" s="15" t="n"/>
      <c r="I23" s="12">
        <f>IF(COUNTIF($F23:$F23,"N/A")=COUNTA($F23:$F23),"N/A",$J23/(COUNTA($F23:$F23)-$L23))</f>
        <v/>
      </c>
      <c r="J23" s="9">
        <f>COUNTIF($F23:$F23,"양호")</f>
        <v/>
      </c>
      <c r="K23" s="9">
        <f>COUNTIF($F23:$F23,"취약")</f>
        <v/>
      </c>
      <c r="L23" s="9">
        <f>COUNTIF($F23:$F23,"N/A")</f>
        <v/>
      </c>
    </row>
    <row r="24">
      <c r="B24" s="15" t="n"/>
      <c r="C24" s="9" t="inlineStr">
        <is>
          <t>U-19</t>
        </is>
      </c>
      <c r="D24" s="2" t="inlineStr">
        <is>
          <t>/etc/hosts 파일 소유자 및 권한 설정</t>
        </is>
      </c>
      <c r="E24" s="9" t="inlineStr">
        <is>
          <t>상</t>
        </is>
      </c>
      <c r="F24" s="14" t="inlineStr">
        <is>
          <t>양호</t>
        </is>
      </c>
      <c r="H24" s="15" t="n"/>
      <c r="I24" s="12">
        <f>IF(COUNTIF($F24:$F24,"N/A")=COUNTA($F24:$F24),"N/A",$J24/(COUNTA($F24:$F24)-$L24))</f>
        <v/>
      </c>
      <c r="J24" s="9">
        <f>COUNTIF($F24:$F24,"양호")</f>
        <v/>
      </c>
      <c r="K24" s="9">
        <f>COUNTIF($F24:$F24,"취약")</f>
        <v/>
      </c>
      <c r="L24" s="9">
        <f>COUNTIF($F24:$F24,"N/A")</f>
        <v/>
      </c>
    </row>
    <row r="25">
      <c r="B25" s="15" t="n"/>
      <c r="C25" s="9" t="inlineStr">
        <is>
          <t>U-20</t>
        </is>
      </c>
      <c r="D25" s="2" t="inlineStr">
        <is>
          <t>/etc/(x)inetd.conf 파일 소유자 및 권한 설정</t>
        </is>
      </c>
      <c r="E25" s="9" t="inlineStr">
        <is>
          <t>상</t>
        </is>
      </c>
      <c r="F25" s="16" t="inlineStr">
        <is>
          <t>N/A</t>
        </is>
      </c>
      <c r="H25" s="15" t="n"/>
      <c r="I25" s="12">
        <f>IF(COUNTIF($F25:$F25,"N/A")=COUNTA($F25:$F25),"N/A",$J25/(COUNTA($F25:$F25)-$L25))</f>
        <v/>
      </c>
      <c r="J25" s="9">
        <f>COUNTIF($F25:$F25,"양호")</f>
        <v/>
      </c>
      <c r="K25" s="9">
        <f>COUNTIF($F25:$F25,"취약")</f>
        <v/>
      </c>
      <c r="L25" s="9">
        <f>COUNTIF($F25:$F25,"N/A")</f>
        <v/>
      </c>
    </row>
    <row r="26">
      <c r="B26" s="15" t="n"/>
      <c r="C26" s="9" t="inlineStr">
        <is>
          <t>U-21</t>
        </is>
      </c>
      <c r="D26" s="2" t="inlineStr">
        <is>
          <t>/etc/(r)syslog.conf 파일 소유자 및 권한 설정</t>
        </is>
      </c>
      <c r="E26" s="9" t="inlineStr">
        <is>
          <t>상</t>
        </is>
      </c>
      <c r="F26" s="14" t="inlineStr">
        <is>
          <t>양호</t>
        </is>
      </c>
      <c r="H26" s="15" t="n"/>
      <c r="I26" s="12">
        <f>IF(COUNTIF($F26:$F26,"N/A")=COUNTA($F26:$F26),"N/A",$J26/(COUNTA($F26:$F26)-$L26))</f>
        <v/>
      </c>
      <c r="J26" s="9">
        <f>COUNTIF($F26:$F26,"양호")</f>
        <v/>
      </c>
      <c r="K26" s="9">
        <f>COUNTIF($F26:$F26,"취약")</f>
        <v/>
      </c>
      <c r="L26" s="9">
        <f>COUNTIF($F26:$F26,"N/A")</f>
        <v/>
      </c>
    </row>
    <row r="27">
      <c r="B27" s="15" t="n"/>
      <c r="C27" s="9" t="inlineStr">
        <is>
          <t>U-22</t>
        </is>
      </c>
      <c r="D27" s="2" t="inlineStr">
        <is>
          <t>/etc/services 파일 소유자 및 권한 설정</t>
        </is>
      </c>
      <c r="E27" s="9" t="inlineStr">
        <is>
          <t>상</t>
        </is>
      </c>
      <c r="F27" s="14" t="inlineStr">
        <is>
          <t>양호</t>
        </is>
      </c>
      <c r="H27" s="15" t="n"/>
      <c r="I27" s="12">
        <f>IF(COUNTIF($F27:$F27,"N/A")=COUNTA($F27:$F27),"N/A",$J27/(COUNTA($F27:$F27)-$L27))</f>
        <v/>
      </c>
      <c r="J27" s="9">
        <f>COUNTIF($F27:$F27,"양호")</f>
        <v/>
      </c>
      <c r="K27" s="9">
        <f>COUNTIF($F27:$F27,"취약")</f>
        <v/>
      </c>
      <c r="L27" s="9">
        <f>COUNTIF($F27:$F27,"N/A")</f>
        <v/>
      </c>
    </row>
    <row r="28">
      <c r="B28" s="15" t="n"/>
      <c r="C28" s="9" t="inlineStr">
        <is>
          <t>U-23</t>
        </is>
      </c>
      <c r="D28" s="2" t="inlineStr">
        <is>
          <t>SUID,SGID,Sticky bit 설정 파일 점검</t>
        </is>
      </c>
      <c r="E28" s="9" t="inlineStr">
        <is>
          <t>상</t>
        </is>
      </c>
      <c r="F28" s="16" t="inlineStr">
        <is>
          <t>N/A</t>
        </is>
      </c>
      <c r="H28" s="15" t="n"/>
      <c r="I28" s="12">
        <f>IF(COUNTIF($F28:$F28,"N/A")=COUNTA($F28:$F28),"N/A",$J28/(COUNTA($F28:$F28)-$L28))</f>
        <v/>
      </c>
      <c r="J28" s="9">
        <f>COUNTIF($F28:$F28,"양호")</f>
        <v/>
      </c>
      <c r="K28" s="9">
        <f>COUNTIF($F28:$F28,"취약")</f>
        <v/>
      </c>
      <c r="L28" s="9">
        <f>COUNTIF($F28:$F28,"N/A")</f>
        <v/>
      </c>
    </row>
    <row r="29">
      <c r="B29" s="15" t="n"/>
      <c r="C29" s="9" t="inlineStr">
        <is>
          <t>U-24</t>
        </is>
      </c>
      <c r="D29" s="2" t="inlineStr">
        <is>
          <t>사용자/시스템 환경변수 파일 소유자 및 권한 설정</t>
        </is>
      </c>
      <c r="E29" s="9" t="inlineStr">
        <is>
          <t>상</t>
        </is>
      </c>
      <c r="F29" s="14" t="inlineStr">
        <is>
          <t>양호</t>
        </is>
      </c>
      <c r="H29" s="15" t="n"/>
      <c r="I29" s="12">
        <f>IF(COUNTIF($F29:$F29,"N/A")=COUNTA($F29:$F29),"N/A",$J29/(COUNTA($F29:$F29)-$L29))</f>
        <v/>
      </c>
      <c r="J29" s="9">
        <f>COUNTIF($F29:$F29,"양호")</f>
        <v/>
      </c>
      <c r="K29" s="9">
        <f>COUNTIF($F29:$F29,"취약")</f>
        <v/>
      </c>
      <c r="L29" s="9">
        <f>COUNTIF($F29:$F29,"N/A")</f>
        <v/>
      </c>
    </row>
    <row r="30">
      <c r="B30" s="15" t="n"/>
      <c r="C30" s="9" t="inlineStr">
        <is>
          <t>U-25</t>
        </is>
      </c>
      <c r="D30" s="2" t="inlineStr">
        <is>
          <t>world writable 파일 점검</t>
        </is>
      </c>
      <c r="E30" s="9" t="inlineStr">
        <is>
          <t>상</t>
        </is>
      </c>
      <c r="F30" s="14" t="inlineStr">
        <is>
          <t>양호</t>
        </is>
      </c>
      <c r="H30" s="15" t="n"/>
      <c r="I30" s="12">
        <f>IF(COUNTIF($F30:$F30,"N/A")=COUNTA($F30:$F30),"N/A",$J30/(COUNTA($F30:$F30)-$L30))</f>
        <v/>
      </c>
      <c r="J30" s="9">
        <f>COUNTIF($F30:$F30,"양호")</f>
        <v/>
      </c>
      <c r="K30" s="9">
        <f>COUNTIF($F30:$F30,"취약")</f>
        <v/>
      </c>
      <c r="L30" s="9">
        <f>COUNTIF($F30:$F30,"N/A")</f>
        <v/>
      </c>
    </row>
    <row r="31">
      <c r="B31" s="15" t="n"/>
      <c r="C31" s="9" t="inlineStr">
        <is>
          <t>U-26</t>
        </is>
      </c>
      <c r="D31" s="2" t="inlineStr">
        <is>
          <t>/dev에 존재하지 않는 device 파일 점검</t>
        </is>
      </c>
      <c r="E31" s="9" t="inlineStr">
        <is>
          <t>상</t>
        </is>
      </c>
      <c r="F31" s="14" t="inlineStr">
        <is>
          <t>양호</t>
        </is>
      </c>
      <c r="H31" s="15" t="n"/>
      <c r="I31" s="12">
        <f>IF(COUNTIF($F31:$F31,"N/A")=COUNTA($F31:$F31),"N/A",$J31/(COUNTA($F31:$F31)-$L31))</f>
        <v/>
      </c>
      <c r="J31" s="9">
        <f>COUNTIF($F31:$F31,"양호")</f>
        <v/>
      </c>
      <c r="K31" s="9">
        <f>COUNTIF($F31:$F31,"취약")</f>
        <v/>
      </c>
      <c r="L31" s="9">
        <f>COUNTIF($F31:$F31,"N/A")</f>
        <v/>
      </c>
    </row>
    <row r="32">
      <c r="B32" s="15" t="n"/>
      <c r="C32" s="9" t="inlineStr">
        <is>
          <t>U-27</t>
        </is>
      </c>
      <c r="D32" s="2" t="inlineStr">
        <is>
          <t>$HOME/.rhosts, hosts.equiv 사용 금지</t>
        </is>
      </c>
      <c r="E32" s="9" t="inlineStr">
        <is>
          <t>상</t>
        </is>
      </c>
      <c r="F32" s="14" t="inlineStr">
        <is>
          <t>양호</t>
        </is>
      </c>
      <c r="H32" s="15" t="n"/>
      <c r="I32" s="12">
        <f>IF(COUNTIF($F32:$F32,"N/A")=COUNTA($F32:$F32),"N/A",$J32/(COUNTA($F32:$F32)-$L32))</f>
        <v/>
      </c>
      <c r="J32" s="9">
        <f>COUNTIF($F32:$F32,"양호")</f>
        <v/>
      </c>
      <c r="K32" s="9">
        <f>COUNTIF($F32:$F32,"취약")</f>
        <v/>
      </c>
      <c r="L32" s="9">
        <f>COUNTIF($F32:$F32,"N/A")</f>
        <v/>
      </c>
    </row>
    <row r="33">
      <c r="B33" s="15" t="n"/>
      <c r="C33" s="9" t="inlineStr">
        <is>
          <t>U-28</t>
        </is>
      </c>
      <c r="D33" s="2" t="inlineStr">
        <is>
          <t>접속 IP 및 포트 제한</t>
        </is>
      </c>
      <c r="E33" s="9" t="inlineStr">
        <is>
          <t>상</t>
        </is>
      </c>
      <c r="F33" s="17" t="inlineStr">
        <is>
          <t>취약</t>
        </is>
      </c>
      <c r="H33" s="15" t="n"/>
      <c r="I33" s="12">
        <f>IF(COUNTIF($F33:$F33,"N/A")=COUNTA($F33:$F33),"N/A",$J33/(COUNTA($F33:$F33)-$L33))</f>
        <v/>
      </c>
      <c r="J33" s="9">
        <f>COUNTIF($F33:$F33,"양호")</f>
        <v/>
      </c>
      <c r="K33" s="9">
        <f>COUNTIF($F33:$F33,"취약")</f>
        <v/>
      </c>
      <c r="L33" s="9">
        <f>COUNTIF($F33:$F33,"N/A")</f>
        <v/>
      </c>
    </row>
    <row r="34">
      <c r="B34" s="15" t="n"/>
      <c r="C34" s="9" t="inlineStr">
        <is>
          <t>U-29</t>
        </is>
      </c>
      <c r="D34" s="2" t="inlineStr">
        <is>
          <t>hosts.lpd 파일 소유자 및 권한 설정</t>
        </is>
      </c>
      <c r="E34" s="9" t="inlineStr">
        <is>
          <t>하</t>
        </is>
      </c>
      <c r="F34" s="14" t="inlineStr">
        <is>
          <t>양호</t>
        </is>
      </c>
      <c r="H34" s="15" t="n"/>
      <c r="I34" s="12">
        <f>IF(COUNTIF($F34:$F34,"N/A")=COUNTA($F34:$F34),"N/A",$J34/(COUNTA($F34:$F34)-$L34))</f>
        <v/>
      </c>
      <c r="J34" s="9">
        <f>COUNTIF($F34:$F34,"양호")</f>
        <v/>
      </c>
      <c r="K34" s="9">
        <f>COUNTIF($F34:$F34,"취약")</f>
        <v/>
      </c>
      <c r="L34" s="9">
        <f>COUNTIF($F34:$F34,"N/A")</f>
        <v/>
      </c>
    </row>
    <row r="35">
      <c r="B35" s="15" t="n"/>
      <c r="C35" s="9" t="inlineStr">
        <is>
          <t>U-30</t>
        </is>
      </c>
      <c r="D35" s="2" t="inlineStr">
        <is>
          <t>UMASK 설정 관리</t>
        </is>
      </c>
      <c r="E35" s="9" t="inlineStr">
        <is>
          <t>중</t>
        </is>
      </c>
      <c r="F35" s="14" t="inlineStr">
        <is>
          <t>양호</t>
        </is>
      </c>
      <c r="H35" s="15" t="n"/>
      <c r="I35" s="12">
        <f>IF(COUNTIF($F35:$F35,"N/A")=COUNTA($F35:$F35),"N/A",$J35/(COUNTA($F35:$F35)-$L35))</f>
        <v/>
      </c>
      <c r="J35" s="9">
        <f>COUNTIF($F35:$F35,"양호")</f>
        <v/>
      </c>
      <c r="K35" s="9">
        <f>COUNTIF($F35:$F35,"취약")</f>
        <v/>
      </c>
      <c r="L35" s="9">
        <f>COUNTIF($F35:$F35,"N/A")</f>
        <v/>
      </c>
    </row>
    <row r="36">
      <c r="B36" s="15" t="n"/>
      <c r="C36" s="9" t="inlineStr">
        <is>
          <t>U-31</t>
        </is>
      </c>
      <c r="D36" s="2" t="inlineStr">
        <is>
          <t>홈 디렉터리 소유자 및 권한 설정</t>
        </is>
      </c>
      <c r="E36" s="9" t="inlineStr">
        <is>
          <t>중</t>
        </is>
      </c>
      <c r="F36" s="14" t="inlineStr">
        <is>
          <t>양호</t>
        </is>
      </c>
      <c r="H36" s="15" t="n"/>
      <c r="I36" s="12">
        <f>IF(COUNTIF($F36:$F36,"N/A")=COUNTA($F36:$F36),"N/A",$J36/(COUNTA($F36:$F36)-$L36))</f>
        <v/>
      </c>
      <c r="J36" s="9">
        <f>COUNTIF($F36:$F36,"양호")</f>
        <v/>
      </c>
      <c r="K36" s="9">
        <f>COUNTIF($F36:$F36,"취약")</f>
        <v/>
      </c>
      <c r="L36" s="9">
        <f>COUNTIF($F36:$F36,"N/A")</f>
        <v/>
      </c>
    </row>
    <row r="37">
      <c r="B37" s="15" t="n"/>
      <c r="C37" s="9" t="inlineStr">
        <is>
          <t>U-32</t>
        </is>
      </c>
      <c r="D37" s="2" t="inlineStr">
        <is>
          <t>홈 디렉터리로 지정한 디렉터리의 존재 관리</t>
        </is>
      </c>
      <c r="E37" s="9" t="inlineStr">
        <is>
          <t>중</t>
        </is>
      </c>
      <c r="F37" s="14" t="inlineStr">
        <is>
          <t>양호</t>
        </is>
      </c>
      <c r="H37" s="15" t="n"/>
      <c r="I37" s="12">
        <f>IF(COUNTIF($F37:$F37,"N/A")=COUNTA($F37:$F37),"N/A",$J37/(COUNTA($F37:$F37)-$L37))</f>
        <v/>
      </c>
      <c r="J37" s="9">
        <f>COUNTIF($F37:$F37,"양호")</f>
        <v/>
      </c>
      <c r="K37" s="9">
        <f>COUNTIF($F37:$F37,"취약")</f>
        <v/>
      </c>
      <c r="L37" s="9">
        <f>COUNTIF($F37:$F37,"N/A")</f>
        <v/>
      </c>
    </row>
    <row r="38">
      <c r="B38" s="15" t="n"/>
      <c r="C38" s="9" t="inlineStr">
        <is>
          <t>U-33</t>
        </is>
      </c>
      <c r="D38" s="2" t="inlineStr">
        <is>
          <t>숨겨진 파일 및 디렉터리 검색 및 제거</t>
        </is>
      </c>
      <c r="E38" s="9" t="inlineStr">
        <is>
          <t>하</t>
        </is>
      </c>
      <c r="F38" s="16" t="inlineStr">
        <is>
          <t>N/A</t>
        </is>
      </c>
      <c r="H38" s="15" t="n"/>
      <c r="I38" s="12">
        <f>IF(COUNTIF($F38:$F38,"N/A")=COUNTA($F38:$F38),"N/A",$J38/(COUNTA($F38:$F38)-$L38))</f>
        <v/>
      </c>
      <c r="J38" s="9">
        <f>COUNTIF($F38:$F38,"양호")</f>
        <v/>
      </c>
      <c r="K38" s="9">
        <f>COUNTIF($F38:$F38,"취약")</f>
        <v/>
      </c>
      <c r="L38" s="9">
        <f>COUNTIF($F38:$F38,"N/A")</f>
        <v/>
      </c>
    </row>
    <row r="39">
      <c r="B39" s="9" t="inlineStr">
        <is>
          <t>서비스 관리</t>
        </is>
      </c>
      <c r="C39" s="9" t="inlineStr">
        <is>
          <t>U-34</t>
        </is>
      </c>
      <c r="D39" s="2" t="inlineStr">
        <is>
          <t>Finger 서비스 비활성화</t>
        </is>
      </c>
      <c r="E39" s="9" t="inlineStr">
        <is>
          <t>상</t>
        </is>
      </c>
      <c r="F39" s="14" t="inlineStr">
        <is>
          <t>양호</t>
        </is>
      </c>
      <c r="H39" s="12">
        <f>IF(COUNTIF(I39:I68,"N/A")=COUNTA(I39:I68),"N/A",AVERAGE(I39:I68))</f>
        <v/>
      </c>
      <c r="I39" s="12">
        <f>IF(COUNTIF($F39:$F39,"N/A")=COUNTA($F39:$F39),"N/A",$J39/(COUNTA($F39:$F39)-$L39))</f>
        <v/>
      </c>
      <c r="J39" s="9">
        <f>COUNTIF($F39:$F39,"양호")</f>
        <v/>
      </c>
      <c r="K39" s="9">
        <f>COUNTIF($F39:$F39,"취약")</f>
        <v/>
      </c>
      <c r="L39" s="9">
        <f>COUNTIF($F39:$F39,"N/A")</f>
        <v/>
      </c>
    </row>
    <row r="40">
      <c r="B40" s="15" t="n"/>
      <c r="C40" s="9" t="inlineStr">
        <is>
          <t>U-35</t>
        </is>
      </c>
      <c r="D40" s="2" t="inlineStr">
        <is>
          <t>Anonymous FTP 비활성화</t>
        </is>
      </c>
      <c r="E40" s="9" t="inlineStr">
        <is>
          <t>상</t>
        </is>
      </c>
      <c r="F40" s="14" t="inlineStr">
        <is>
          <t>양호</t>
        </is>
      </c>
      <c r="H40" s="15" t="n"/>
      <c r="I40" s="12">
        <f>IF(COUNTIF($F40:$F40,"N/A")=COUNTA($F40:$F40),"N/A",$J40/(COUNTA($F40:$F40)-$L40))</f>
        <v/>
      </c>
      <c r="J40" s="9">
        <f>COUNTIF($F40:$F40,"양호")</f>
        <v/>
      </c>
      <c r="K40" s="9">
        <f>COUNTIF($F40:$F40,"취약")</f>
        <v/>
      </c>
      <c r="L40" s="9">
        <f>COUNTIF($F40:$F40,"N/A")</f>
        <v/>
      </c>
    </row>
    <row r="41">
      <c r="B41" s="15" t="n"/>
      <c r="C41" s="9" t="inlineStr">
        <is>
          <t>U-36</t>
        </is>
      </c>
      <c r="D41" s="2" t="inlineStr">
        <is>
          <t>r 계열 서비스 비활성화</t>
        </is>
      </c>
      <c r="E41" s="9" t="inlineStr">
        <is>
          <t>상</t>
        </is>
      </c>
      <c r="F41" s="14" t="inlineStr">
        <is>
          <t>양호</t>
        </is>
      </c>
      <c r="H41" s="15" t="n"/>
      <c r="I41" s="12">
        <f>IF(COUNTIF($F41:$F41,"N/A")=COUNTA($F41:$F41),"N/A",$J41/(COUNTA($F41:$F41)-$L41))</f>
        <v/>
      </c>
      <c r="J41" s="9">
        <f>COUNTIF($F41:$F41,"양호")</f>
        <v/>
      </c>
      <c r="K41" s="9">
        <f>COUNTIF($F41:$F41,"취약")</f>
        <v/>
      </c>
      <c r="L41" s="9">
        <f>COUNTIF($F41:$F41,"N/A")</f>
        <v/>
      </c>
    </row>
    <row r="42">
      <c r="B42" s="15" t="n"/>
      <c r="C42" s="9" t="inlineStr">
        <is>
          <t>U-37</t>
        </is>
      </c>
      <c r="D42" s="2" t="inlineStr">
        <is>
          <t>cron 파일 소유자 및 권한 설정</t>
        </is>
      </c>
      <c r="E42" s="9" t="inlineStr">
        <is>
          <t>상</t>
        </is>
      </c>
      <c r="F42" s="14" t="inlineStr">
        <is>
          <t>양호</t>
        </is>
      </c>
      <c r="H42" s="15" t="n"/>
      <c r="I42" s="12">
        <f>IF(COUNTIF($F42:$F42,"N/A")=COUNTA($F42:$F42),"N/A",$J42/(COUNTA($F42:$F42)-$L42))</f>
        <v/>
      </c>
      <c r="J42" s="9">
        <f>COUNTIF($F42:$F42,"양호")</f>
        <v/>
      </c>
      <c r="K42" s="9">
        <f>COUNTIF($F42:$F42,"취약")</f>
        <v/>
      </c>
      <c r="L42" s="9">
        <f>COUNTIF($F42:$F42,"N/A")</f>
        <v/>
      </c>
    </row>
    <row r="43">
      <c r="B43" s="15" t="n"/>
      <c r="C43" s="9" t="inlineStr">
        <is>
          <t>U-38</t>
        </is>
      </c>
      <c r="D43" s="2" t="inlineStr">
        <is>
          <t>DoS 공격에 취약한 서비스 비활성화</t>
        </is>
      </c>
      <c r="E43" s="9" t="inlineStr">
        <is>
          <t>상</t>
        </is>
      </c>
      <c r="F43" s="14" t="inlineStr">
        <is>
          <t>양호</t>
        </is>
      </c>
      <c r="H43" s="15" t="n"/>
      <c r="I43" s="12">
        <f>IF(COUNTIF($F43:$F43,"N/A")=COUNTA($F43:$F43),"N/A",$J43/(COUNTA($F43:$F43)-$L43))</f>
        <v/>
      </c>
      <c r="J43" s="9">
        <f>COUNTIF($F43:$F43,"양호")</f>
        <v/>
      </c>
      <c r="K43" s="9">
        <f>COUNTIF($F43:$F43,"취약")</f>
        <v/>
      </c>
      <c r="L43" s="9">
        <f>COUNTIF($F43:$F43,"N/A")</f>
        <v/>
      </c>
    </row>
    <row r="44">
      <c r="B44" s="15" t="n"/>
      <c r="C44" s="9" t="inlineStr">
        <is>
          <t>U-39</t>
        </is>
      </c>
      <c r="D44" s="2" t="inlineStr">
        <is>
          <t>불필요한 NFS 서비스 비활성화</t>
        </is>
      </c>
      <c r="E44" s="9" t="inlineStr">
        <is>
          <t>상</t>
        </is>
      </c>
      <c r="F44" s="14" t="inlineStr">
        <is>
          <t>양호</t>
        </is>
      </c>
      <c r="H44" s="15" t="n"/>
      <c r="I44" s="12">
        <f>IF(COUNTIF($F44:$F44,"N/A")=COUNTA($F44:$F44),"N/A",$J44/(COUNTA($F44:$F44)-$L44))</f>
        <v/>
      </c>
      <c r="J44" s="9">
        <f>COUNTIF($F44:$F44,"양호")</f>
        <v/>
      </c>
      <c r="K44" s="9">
        <f>COUNTIF($F44:$F44,"취약")</f>
        <v/>
      </c>
      <c r="L44" s="9">
        <f>COUNTIF($F44:$F44,"N/A")</f>
        <v/>
      </c>
    </row>
    <row r="45">
      <c r="B45" s="15" t="n"/>
      <c r="C45" s="9" t="inlineStr">
        <is>
          <t>U-40</t>
        </is>
      </c>
      <c r="D45" s="2" t="inlineStr">
        <is>
          <t>NFS 접근 통제</t>
        </is>
      </c>
      <c r="E45" s="9" t="inlineStr">
        <is>
          <t>상</t>
        </is>
      </c>
      <c r="F45" s="14" t="inlineStr">
        <is>
          <t>양호</t>
        </is>
      </c>
      <c r="H45" s="15" t="n"/>
      <c r="I45" s="12">
        <f>IF(COUNTIF($F45:$F45,"N/A")=COUNTA($F45:$F45),"N/A",$J45/(COUNTA($F45:$F45)-$L45))</f>
        <v/>
      </c>
      <c r="J45" s="9">
        <f>COUNTIF($F45:$F45,"양호")</f>
        <v/>
      </c>
      <c r="K45" s="9">
        <f>COUNTIF($F45:$F45,"취약")</f>
        <v/>
      </c>
      <c r="L45" s="9">
        <f>COUNTIF($F45:$F45,"N/A")</f>
        <v/>
      </c>
    </row>
    <row r="46">
      <c r="B46" s="15" t="n"/>
      <c r="C46" s="9" t="inlineStr">
        <is>
          <t>U-41</t>
        </is>
      </c>
      <c r="D46" s="2" t="inlineStr">
        <is>
          <t>불필요한 automountd 제거</t>
        </is>
      </c>
      <c r="E46" s="9" t="inlineStr">
        <is>
          <t>상</t>
        </is>
      </c>
      <c r="F46" s="14" t="inlineStr">
        <is>
          <t>양호</t>
        </is>
      </c>
      <c r="H46" s="15" t="n"/>
      <c r="I46" s="12">
        <f>IF(COUNTIF($F46:$F46,"N/A")=COUNTA($F46:$F46),"N/A",$J46/(COUNTA($F46:$F46)-$L46))</f>
        <v/>
      </c>
      <c r="J46" s="9">
        <f>COUNTIF($F46:$F46,"양호")</f>
        <v/>
      </c>
      <c r="K46" s="9">
        <f>COUNTIF($F46:$F46,"취약")</f>
        <v/>
      </c>
      <c r="L46" s="9">
        <f>COUNTIF($F46:$F46,"N/A")</f>
        <v/>
      </c>
    </row>
    <row r="47">
      <c r="B47" s="15" t="n"/>
      <c r="C47" s="9" t="inlineStr">
        <is>
          <t>U-42</t>
        </is>
      </c>
      <c r="D47" s="2" t="inlineStr">
        <is>
          <t>불필요한 RPC 서비스 비활성화</t>
        </is>
      </c>
      <c r="E47" s="9" t="inlineStr">
        <is>
          <t>상</t>
        </is>
      </c>
      <c r="F47" s="14" t="inlineStr">
        <is>
          <t>양호</t>
        </is>
      </c>
      <c r="H47" s="15" t="n"/>
      <c r="I47" s="12">
        <f>IF(COUNTIF($F47:$F47,"N/A")=COUNTA($F47:$F47),"N/A",$J47/(COUNTA($F47:$F47)-$L47))</f>
        <v/>
      </c>
      <c r="J47" s="9">
        <f>COUNTIF($F47:$F47,"양호")</f>
        <v/>
      </c>
      <c r="K47" s="9">
        <f>COUNTIF($F47:$F47,"취약")</f>
        <v/>
      </c>
      <c r="L47" s="9">
        <f>COUNTIF($F47:$F47,"N/A")</f>
        <v/>
      </c>
    </row>
    <row r="48">
      <c r="B48" s="15" t="n"/>
      <c r="C48" s="9" t="inlineStr">
        <is>
          <t>U-43</t>
        </is>
      </c>
      <c r="D48" s="2" t="inlineStr">
        <is>
          <t>NIS, NIS+ 점검</t>
        </is>
      </c>
      <c r="E48" s="9" t="inlineStr">
        <is>
          <t>상</t>
        </is>
      </c>
      <c r="F48" s="14" t="inlineStr">
        <is>
          <t>양호</t>
        </is>
      </c>
      <c r="H48" s="15" t="n"/>
      <c r="I48" s="12">
        <f>IF(COUNTIF($F48:$F48,"N/A")=COUNTA($F48:$F48),"N/A",$J48/(COUNTA($F48:$F48)-$L48))</f>
        <v/>
      </c>
      <c r="J48" s="9">
        <f>COUNTIF($F48:$F48,"양호")</f>
        <v/>
      </c>
      <c r="K48" s="9">
        <f>COUNTIF($F48:$F48,"취약")</f>
        <v/>
      </c>
      <c r="L48" s="9">
        <f>COUNTIF($F48:$F48,"N/A")</f>
        <v/>
      </c>
    </row>
    <row r="49">
      <c r="B49" s="15" t="n"/>
      <c r="C49" s="9" t="inlineStr">
        <is>
          <t>U-44</t>
        </is>
      </c>
      <c r="D49" s="2" t="inlineStr">
        <is>
          <t>tftp, talk 서비스 비활성화</t>
        </is>
      </c>
      <c r="E49" s="9" t="inlineStr">
        <is>
          <t>상</t>
        </is>
      </c>
      <c r="F49" s="14" t="inlineStr">
        <is>
          <t>양호</t>
        </is>
      </c>
      <c r="H49" s="15" t="n"/>
      <c r="I49" s="12">
        <f>IF(COUNTIF($F49:$F49,"N/A")=COUNTA($F49:$F49),"N/A",$J49/(COUNTA($F49:$F49)-$L49))</f>
        <v/>
      </c>
      <c r="J49" s="9">
        <f>COUNTIF($F49:$F49,"양호")</f>
        <v/>
      </c>
      <c r="K49" s="9">
        <f>COUNTIF($F49:$F49,"취약")</f>
        <v/>
      </c>
      <c r="L49" s="9">
        <f>COUNTIF($F49:$F49,"N/A")</f>
        <v/>
      </c>
    </row>
    <row r="50">
      <c r="B50" s="15" t="n"/>
      <c r="C50" s="9" t="inlineStr">
        <is>
          <t>U-45</t>
        </is>
      </c>
      <c r="D50" s="2" t="inlineStr">
        <is>
          <t>메일 서비스 버전 점검</t>
        </is>
      </c>
      <c r="E50" s="9" t="inlineStr">
        <is>
          <t>상</t>
        </is>
      </c>
      <c r="F50" s="16" t="inlineStr">
        <is>
          <t>N/A</t>
        </is>
      </c>
      <c r="H50" s="15" t="n"/>
      <c r="I50" s="12">
        <f>IF(COUNTIF($F50:$F50,"N/A")=COUNTA($F50:$F50),"N/A",$J50/(COUNTA($F50:$F50)-$L50))</f>
        <v/>
      </c>
      <c r="J50" s="9">
        <f>COUNTIF($F50:$F50,"양호")</f>
        <v/>
      </c>
      <c r="K50" s="9">
        <f>COUNTIF($F50:$F50,"취약")</f>
        <v/>
      </c>
      <c r="L50" s="9">
        <f>COUNTIF($F50:$F50,"N/A")</f>
        <v/>
      </c>
    </row>
    <row r="51">
      <c r="B51" s="15" t="n"/>
      <c r="C51" s="9" t="inlineStr">
        <is>
          <t>U-46</t>
        </is>
      </c>
      <c r="D51" s="2" t="inlineStr">
        <is>
          <t>일반 사용자의 메일 서비스 실행 방지</t>
        </is>
      </c>
      <c r="E51" s="9" t="inlineStr">
        <is>
          <t>중</t>
        </is>
      </c>
      <c r="F51" s="14" t="inlineStr">
        <is>
          <t>양호</t>
        </is>
      </c>
      <c r="H51" s="15" t="n"/>
      <c r="I51" s="12">
        <f>IF(COUNTIF($F51:$F51,"N/A")=COUNTA($F51:$F51),"N/A",$J51/(COUNTA($F51:$F51)-$L51))</f>
        <v/>
      </c>
      <c r="J51" s="9">
        <f>COUNTIF($F51:$F51,"양호")</f>
        <v/>
      </c>
      <c r="K51" s="9">
        <f>COUNTIF($F51:$F51,"취약")</f>
        <v/>
      </c>
      <c r="L51" s="9">
        <f>COUNTIF($F51:$F51,"N/A")</f>
        <v/>
      </c>
    </row>
    <row r="52">
      <c r="B52" s="15" t="n"/>
      <c r="C52" s="9" t="inlineStr">
        <is>
          <t>U-47</t>
        </is>
      </c>
      <c r="D52" s="2" t="inlineStr">
        <is>
          <t>스팸 메일 릴레이 제한</t>
        </is>
      </c>
      <c r="E52" s="9" t="inlineStr">
        <is>
          <t>상</t>
        </is>
      </c>
      <c r="F52" s="14" t="inlineStr">
        <is>
          <t>양호</t>
        </is>
      </c>
      <c r="H52" s="15" t="n"/>
      <c r="I52" s="12">
        <f>IF(COUNTIF($F52:$F52,"N/A")=COUNTA($F52:$F52),"N/A",$J52/(COUNTA($F52:$F52)-$L52))</f>
        <v/>
      </c>
      <c r="J52" s="9">
        <f>COUNTIF($F52:$F52,"양호")</f>
        <v/>
      </c>
      <c r="K52" s="9">
        <f>COUNTIF($F52:$F52,"취약")</f>
        <v/>
      </c>
      <c r="L52" s="9">
        <f>COUNTIF($F52:$F52,"N/A")</f>
        <v/>
      </c>
    </row>
    <row r="53">
      <c r="B53" s="15" t="n"/>
      <c r="C53" s="9" t="inlineStr">
        <is>
          <t>U-48</t>
        </is>
      </c>
      <c r="D53" s="2" t="inlineStr">
        <is>
          <t>expn, vrfy 명령어 제한</t>
        </is>
      </c>
      <c r="E53" s="9" t="inlineStr">
        <is>
          <t>중</t>
        </is>
      </c>
      <c r="F53" s="14" t="inlineStr">
        <is>
          <t>양호</t>
        </is>
      </c>
      <c r="H53" s="15" t="n"/>
      <c r="I53" s="12">
        <f>IF(COUNTIF($F53:$F53,"N/A")=COUNTA($F53:$F53),"N/A",$J53/(COUNTA($F53:$F53)-$L53))</f>
        <v/>
      </c>
      <c r="J53" s="9">
        <f>COUNTIF($F53:$F53,"양호")</f>
        <v/>
      </c>
      <c r="K53" s="9">
        <f>COUNTIF($F53:$F53,"취약")</f>
        <v/>
      </c>
      <c r="L53" s="9">
        <f>COUNTIF($F53:$F53,"N/A")</f>
        <v/>
      </c>
    </row>
    <row r="54">
      <c r="B54" s="15" t="n"/>
      <c r="C54" s="9" t="inlineStr">
        <is>
          <t>U-49</t>
        </is>
      </c>
      <c r="D54" s="2" t="inlineStr">
        <is>
          <t>DNS 보안 버전 패치</t>
        </is>
      </c>
      <c r="E54" s="9" t="inlineStr">
        <is>
          <t>상</t>
        </is>
      </c>
      <c r="F54" s="16" t="inlineStr">
        <is>
          <t>N/A</t>
        </is>
      </c>
      <c r="H54" s="15" t="n"/>
      <c r="I54" s="12">
        <f>IF(COUNTIF($F54:$F54,"N/A")=COUNTA($F54:$F54),"N/A",$J54/(COUNTA($F54:$F54)-$L54))</f>
        <v/>
      </c>
      <c r="J54" s="9">
        <f>COUNTIF($F54:$F54,"양호")</f>
        <v/>
      </c>
      <c r="K54" s="9">
        <f>COUNTIF($F54:$F54,"취약")</f>
        <v/>
      </c>
      <c r="L54" s="9">
        <f>COUNTIF($F54:$F54,"N/A")</f>
        <v/>
      </c>
    </row>
    <row r="55">
      <c r="B55" s="15" t="n"/>
      <c r="C55" s="9" t="inlineStr">
        <is>
          <t>U-50</t>
        </is>
      </c>
      <c r="D55" s="2" t="inlineStr">
        <is>
          <t>DNS Zone Transfer 설정</t>
        </is>
      </c>
      <c r="E55" s="9" t="inlineStr">
        <is>
          <t>상</t>
        </is>
      </c>
      <c r="F55" s="14" t="inlineStr">
        <is>
          <t>양호</t>
        </is>
      </c>
      <c r="H55" s="15" t="n"/>
      <c r="I55" s="12">
        <f>IF(COUNTIF($F55:$F55,"N/A")=COUNTA($F55:$F55),"N/A",$J55/(COUNTA($F55:$F55)-$L55))</f>
        <v/>
      </c>
      <c r="J55" s="9">
        <f>COUNTIF($F55:$F55,"양호")</f>
        <v/>
      </c>
      <c r="K55" s="9">
        <f>COUNTIF($F55:$F55,"취약")</f>
        <v/>
      </c>
      <c r="L55" s="9">
        <f>COUNTIF($F55:$F55,"N/A")</f>
        <v/>
      </c>
    </row>
    <row r="56">
      <c r="B56" s="15" t="n"/>
      <c r="C56" s="9" t="inlineStr">
        <is>
          <t>U-51</t>
        </is>
      </c>
      <c r="D56" s="2" t="inlineStr">
        <is>
          <t>DNS 취약한 동적 업데이트 설정 금지</t>
        </is>
      </c>
      <c r="E56" s="9" t="inlineStr">
        <is>
          <t>중</t>
        </is>
      </c>
      <c r="F56" s="14" t="inlineStr">
        <is>
          <t>양호</t>
        </is>
      </c>
      <c r="H56" s="15" t="n"/>
      <c r="I56" s="12">
        <f>IF(COUNTIF($F56:$F56,"N/A")=COUNTA($F56:$F56),"N/A",$J56/(COUNTA($F56:$F56)-$L56))</f>
        <v/>
      </c>
      <c r="J56" s="9">
        <f>COUNTIF($F56:$F56,"양호")</f>
        <v/>
      </c>
      <c r="K56" s="9">
        <f>COUNTIF($F56:$F56,"취약")</f>
        <v/>
      </c>
      <c r="L56" s="9">
        <f>COUNTIF($F56:$F56,"N/A")</f>
        <v/>
      </c>
    </row>
    <row r="57">
      <c r="B57" s="15" t="n"/>
      <c r="C57" s="9" t="inlineStr">
        <is>
          <t>U-52</t>
        </is>
      </c>
      <c r="D57" s="2" t="inlineStr">
        <is>
          <t>Telnet 서비스 비활성화</t>
        </is>
      </c>
      <c r="E57" s="9" t="inlineStr">
        <is>
          <t>중</t>
        </is>
      </c>
      <c r="F57" s="14" t="inlineStr">
        <is>
          <t>양호</t>
        </is>
      </c>
      <c r="H57" s="15" t="n"/>
      <c r="I57" s="12">
        <f>IF(COUNTIF($F57:$F57,"N/A")=COUNTA($F57:$F57),"N/A",$J57/(COUNTA($F57:$F57)-$L57))</f>
        <v/>
      </c>
      <c r="J57" s="9">
        <f>COUNTIF($F57:$F57,"양호")</f>
        <v/>
      </c>
      <c r="K57" s="9">
        <f>COUNTIF($F57:$F57,"취약")</f>
        <v/>
      </c>
      <c r="L57" s="9">
        <f>COUNTIF($F57:$F57,"N/A")</f>
        <v/>
      </c>
    </row>
    <row r="58">
      <c r="B58" s="15" t="n"/>
      <c r="C58" s="9" t="inlineStr">
        <is>
          <t>U-53</t>
        </is>
      </c>
      <c r="D58" s="2" t="inlineStr">
        <is>
          <t>FTP 서비스 정보 노출 제한</t>
        </is>
      </c>
      <c r="E58" s="9" t="inlineStr">
        <is>
          <t>하</t>
        </is>
      </c>
      <c r="F58" s="14" t="inlineStr">
        <is>
          <t>양호</t>
        </is>
      </c>
      <c r="H58" s="15" t="n"/>
      <c r="I58" s="12">
        <f>IF(COUNTIF($F58:$F58,"N/A")=COUNTA($F58:$F58),"N/A",$J58/(COUNTA($F58:$F58)-$L58))</f>
        <v/>
      </c>
      <c r="J58" s="9">
        <f>COUNTIF($F58:$F58,"양호")</f>
        <v/>
      </c>
      <c r="K58" s="9">
        <f>COUNTIF($F58:$F58,"취약")</f>
        <v/>
      </c>
      <c r="L58" s="9">
        <f>COUNTIF($F58:$F58,"N/A")</f>
        <v/>
      </c>
    </row>
    <row r="59">
      <c r="B59" s="15" t="n"/>
      <c r="C59" s="9" t="inlineStr">
        <is>
          <t>U-54</t>
        </is>
      </c>
      <c r="D59" s="2" t="inlineStr">
        <is>
          <t>암호화되지 않는 FTP 서비스 비활성화</t>
        </is>
      </c>
      <c r="E59" s="9" t="inlineStr">
        <is>
          <t>중</t>
        </is>
      </c>
      <c r="F59" s="14" t="inlineStr">
        <is>
          <t>양호</t>
        </is>
      </c>
      <c r="H59" s="15" t="n"/>
      <c r="I59" s="12">
        <f>IF(COUNTIF($F59:$F59,"N/A")=COUNTA($F59:$F59),"N/A",$J59/(COUNTA($F59:$F59)-$L59))</f>
        <v/>
      </c>
      <c r="J59" s="9">
        <f>COUNTIF($F59:$F59,"양호")</f>
        <v/>
      </c>
      <c r="K59" s="9">
        <f>COUNTIF($F59:$F59,"취약")</f>
        <v/>
      </c>
      <c r="L59" s="9">
        <f>COUNTIF($F59:$F59,"N/A")</f>
        <v/>
      </c>
    </row>
    <row r="60">
      <c r="B60" s="15" t="n"/>
      <c r="C60" s="9" t="inlineStr">
        <is>
          <t>U-55</t>
        </is>
      </c>
      <c r="D60" s="2" t="inlineStr">
        <is>
          <t>FTP 계정 Shell 제한</t>
        </is>
      </c>
      <c r="E60" s="9" t="inlineStr">
        <is>
          <t>중</t>
        </is>
      </c>
      <c r="F60" s="14" t="inlineStr">
        <is>
          <t>양호</t>
        </is>
      </c>
      <c r="H60" s="15" t="n"/>
      <c r="I60" s="12">
        <f>IF(COUNTIF($F60:$F60,"N/A")=COUNTA($F60:$F60),"N/A",$J60/(COUNTA($F60:$F60)-$L60))</f>
        <v/>
      </c>
      <c r="J60" s="9">
        <f>COUNTIF($F60:$F60,"양호")</f>
        <v/>
      </c>
      <c r="K60" s="9">
        <f>COUNTIF($F60:$F60,"취약")</f>
        <v/>
      </c>
      <c r="L60" s="9">
        <f>COUNTIF($F60:$F60,"N/A")</f>
        <v/>
      </c>
    </row>
    <row r="61">
      <c r="B61" s="15" t="n"/>
      <c r="C61" s="9" t="inlineStr">
        <is>
          <t>U-56</t>
        </is>
      </c>
      <c r="D61" s="2" t="inlineStr">
        <is>
          <t>FTP 서비스 접근 제어 설정</t>
        </is>
      </c>
      <c r="E61" s="9" t="inlineStr">
        <is>
          <t>하</t>
        </is>
      </c>
      <c r="F61" s="14" t="inlineStr">
        <is>
          <t>양호</t>
        </is>
      </c>
      <c r="H61" s="15" t="n"/>
      <c r="I61" s="12">
        <f>IF(COUNTIF($F61:$F61,"N/A")=COUNTA($F61:$F61),"N/A",$J61/(COUNTA($F61:$F61)-$L61))</f>
        <v/>
      </c>
      <c r="J61" s="9">
        <f>COUNTIF($F61:$F61,"양호")</f>
        <v/>
      </c>
      <c r="K61" s="9">
        <f>COUNTIF($F61:$F61,"취약")</f>
        <v/>
      </c>
      <c r="L61" s="9">
        <f>COUNTIF($F61:$F61,"N/A")</f>
        <v/>
      </c>
    </row>
    <row r="62">
      <c r="B62" s="15" t="n"/>
      <c r="C62" s="9" t="inlineStr">
        <is>
          <t>U-57</t>
        </is>
      </c>
      <c r="D62" s="2" t="inlineStr">
        <is>
          <t>Ftpusers 파일 설정</t>
        </is>
      </c>
      <c r="E62" s="9" t="inlineStr">
        <is>
          <t>중</t>
        </is>
      </c>
      <c r="F62" s="14" t="inlineStr">
        <is>
          <t>양호</t>
        </is>
      </c>
      <c r="H62" s="15" t="n"/>
      <c r="I62" s="12">
        <f>IF(COUNTIF($F62:$F62,"N/A")=COUNTA($F62:$F62),"N/A",$J62/(COUNTA($F62:$F62)-$L62))</f>
        <v/>
      </c>
      <c r="J62" s="9">
        <f>COUNTIF($F62:$F62,"양호")</f>
        <v/>
      </c>
      <c r="K62" s="9">
        <f>COUNTIF($F62:$F62,"취약")</f>
        <v/>
      </c>
      <c r="L62" s="9">
        <f>COUNTIF($F62:$F62,"N/A")</f>
        <v/>
      </c>
    </row>
    <row r="63">
      <c r="B63" s="15" t="n"/>
      <c r="C63" s="9" t="inlineStr">
        <is>
          <t>U-58</t>
        </is>
      </c>
      <c r="D63" s="2" t="inlineStr">
        <is>
          <t>불필요한 SNMP 서비스 구동 점검</t>
        </is>
      </c>
      <c r="E63" s="9" t="inlineStr">
        <is>
          <t>중</t>
        </is>
      </c>
      <c r="F63" s="14" t="inlineStr">
        <is>
          <t>양호</t>
        </is>
      </c>
      <c r="H63" s="15" t="n"/>
      <c r="I63" s="12">
        <f>IF(COUNTIF($F63:$F63,"N/A")=COUNTA($F63:$F63),"N/A",$J63/(COUNTA($F63:$F63)-$L63))</f>
        <v/>
      </c>
      <c r="J63" s="9">
        <f>COUNTIF($F63:$F63,"양호")</f>
        <v/>
      </c>
      <c r="K63" s="9">
        <f>COUNTIF($F63:$F63,"취약")</f>
        <v/>
      </c>
      <c r="L63" s="9">
        <f>COUNTIF($F63:$F63,"N/A")</f>
        <v/>
      </c>
    </row>
    <row r="64">
      <c r="B64" s="15" t="n"/>
      <c r="C64" s="9" t="inlineStr">
        <is>
          <t>U-59</t>
        </is>
      </c>
      <c r="D64" s="2" t="inlineStr">
        <is>
          <t>안전한 SNMP 버전 사용</t>
        </is>
      </c>
      <c r="E64" s="9" t="inlineStr">
        <is>
          <t>중</t>
        </is>
      </c>
      <c r="F64" s="14" t="inlineStr">
        <is>
          <t>양호</t>
        </is>
      </c>
      <c r="H64" s="15" t="n"/>
      <c r="I64" s="12">
        <f>IF(COUNTIF($F64:$F64,"N/A")=COUNTA($F64:$F64),"N/A",$J64/(COUNTA($F64:$F64)-$L64))</f>
        <v/>
      </c>
      <c r="J64" s="9">
        <f>COUNTIF($F64:$F64,"양호")</f>
        <v/>
      </c>
      <c r="K64" s="9">
        <f>COUNTIF($F64:$F64,"취약")</f>
        <v/>
      </c>
      <c r="L64" s="9">
        <f>COUNTIF($F64:$F64,"N/A")</f>
        <v/>
      </c>
    </row>
    <row r="65">
      <c r="B65" s="15" t="n"/>
      <c r="C65" s="9" t="inlineStr">
        <is>
          <t>U-60</t>
        </is>
      </c>
      <c r="D65" s="2" t="inlineStr">
        <is>
          <t>SNMP Community String 복잡성 설정</t>
        </is>
      </c>
      <c r="E65" s="9" t="inlineStr">
        <is>
          <t>상</t>
        </is>
      </c>
      <c r="F65" s="14" t="inlineStr">
        <is>
          <t>양호</t>
        </is>
      </c>
      <c r="H65" s="15" t="n"/>
      <c r="I65" s="12">
        <f>IF(COUNTIF($F65:$F65,"N/A")=COUNTA($F65:$F65),"N/A",$J65/(COUNTA($F65:$F65)-$L65))</f>
        <v/>
      </c>
      <c r="J65" s="9">
        <f>COUNTIF($F65:$F65,"양호")</f>
        <v/>
      </c>
      <c r="K65" s="9">
        <f>COUNTIF($F65:$F65,"취약")</f>
        <v/>
      </c>
      <c r="L65" s="9">
        <f>COUNTIF($F65:$F65,"N/A")</f>
        <v/>
      </c>
    </row>
    <row r="66">
      <c r="B66" s="15" t="n"/>
      <c r="C66" s="9" t="inlineStr">
        <is>
          <t>U-61</t>
        </is>
      </c>
      <c r="D66" s="2" t="inlineStr">
        <is>
          <t>SNMP Access Control 설정</t>
        </is>
      </c>
      <c r="E66" s="9" t="inlineStr">
        <is>
          <t>상</t>
        </is>
      </c>
      <c r="F66" s="14" t="inlineStr">
        <is>
          <t>양호</t>
        </is>
      </c>
      <c r="H66" s="15" t="n"/>
      <c r="I66" s="12">
        <f>IF(COUNTIF($F66:$F66,"N/A")=COUNTA($F66:$F66),"N/A",$J66/(COUNTA($F66:$F66)-$L66))</f>
        <v/>
      </c>
      <c r="J66" s="9">
        <f>COUNTIF($F66:$F66,"양호")</f>
        <v/>
      </c>
      <c r="K66" s="9">
        <f>COUNTIF($F66:$F66,"취약")</f>
        <v/>
      </c>
      <c r="L66" s="9">
        <f>COUNTIF($F66:$F66,"N/A")</f>
        <v/>
      </c>
    </row>
    <row r="67">
      <c r="B67" s="15" t="n"/>
      <c r="C67" s="9" t="inlineStr">
        <is>
          <t>U-62</t>
        </is>
      </c>
      <c r="D67" s="2" t="inlineStr">
        <is>
          <t>로그인 시 경고 메시지 설정</t>
        </is>
      </c>
      <c r="E67" s="9" t="inlineStr">
        <is>
          <t>하</t>
        </is>
      </c>
      <c r="F67" s="14" t="inlineStr">
        <is>
          <t>양호</t>
        </is>
      </c>
      <c r="H67" s="15" t="n"/>
      <c r="I67" s="12">
        <f>IF(COUNTIF($F67:$F67,"N/A")=COUNTA($F67:$F67),"N/A",$J67/(COUNTA($F67:$F67)-$L67))</f>
        <v/>
      </c>
      <c r="J67" s="9">
        <f>COUNTIF($F67:$F67,"양호")</f>
        <v/>
      </c>
      <c r="K67" s="9">
        <f>COUNTIF($F67:$F67,"취약")</f>
        <v/>
      </c>
      <c r="L67" s="9">
        <f>COUNTIF($F67:$F67,"N/A")</f>
        <v/>
      </c>
    </row>
    <row r="68">
      <c r="B68" s="15" t="n"/>
      <c r="C68" s="9" t="inlineStr">
        <is>
          <t>U-63</t>
        </is>
      </c>
      <c r="D68" s="2" t="inlineStr">
        <is>
          <t>sudo 명령어 접근 관리</t>
        </is>
      </c>
      <c r="E68" s="9" t="inlineStr">
        <is>
          <t>중</t>
        </is>
      </c>
      <c r="F68" s="14" t="inlineStr">
        <is>
          <t>양호</t>
        </is>
      </c>
      <c r="H68" s="15" t="n"/>
      <c r="I68" s="12">
        <f>IF(COUNTIF($F68:$F68,"N/A")=COUNTA($F68:$F68),"N/A",$J68/(COUNTA($F68:$F68)-$L68))</f>
        <v/>
      </c>
      <c r="J68" s="9">
        <f>COUNTIF($F68:$F68,"양호")</f>
        <v/>
      </c>
      <c r="K68" s="9">
        <f>COUNTIF($F68:$F68,"취약")</f>
        <v/>
      </c>
      <c r="L68" s="9">
        <f>COUNTIF($F68:$F68,"N/A")</f>
        <v/>
      </c>
    </row>
    <row r="69">
      <c r="B69" s="9" t="inlineStr">
        <is>
          <t>패치 관리</t>
        </is>
      </c>
      <c r="C69" s="9" t="inlineStr">
        <is>
          <t>U-64</t>
        </is>
      </c>
      <c r="D69" s="2" t="inlineStr">
        <is>
          <t>주기적 보안 패치 및 벤더 권고사항 적용</t>
        </is>
      </c>
      <c r="E69" s="9" t="inlineStr">
        <is>
          <t>상</t>
        </is>
      </c>
      <c r="F69" s="14" t="inlineStr">
        <is>
          <t>양호</t>
        </is>
      </c>
      <c r="H69" s="12">
        <f>IF(COUNTIF(I69:I69,"N/A")=COUNTA(I69:I69),"N/A",AVERAGE(I69:I69))</f>
        <v/>
      </c>
      <c r="I69" s="12">
        <f>IF(COUNTIF($F69:$F69,"N/A")=COUNTA($F69:$F69),"N/A",$J69/(COUNTA($F69:$F69)-$L69))</f>
        <v/>
      </c>
      <c r="J69" s="9">
        <f>COUNTIF($F69:$F69,"양호")</f>
        <v/>
      </c>
      <c r="K69" s="9">
        <f>COUNTIF($F69:$F69,"취약")</f>
        <v/>
      </c>
      <c r="L69" s="9">
        <f>COUNTIF($F69:$F69,"N/A")</f>
        <v/>
      </c>
    </row>
    <row r="70">
      <c r="B70" s="9" t="inlineStr">
        <is>
          <t>로그 관리</t>
        </is>
      </c>
      <c r="C70" s="9" t="inlineStr">
        <is>
          <t>U-65</t>
        </is>
      </c>
      <c r="D70" s="2" t="inlineStr">
        <is>
          <t>NTP 및 시각 동기화 설정</t>
        </is>
      </c>
      <c r="E70" s="9" t="inlineStr">
        <is>
          <t>중</t>
        </is>
      </c>
      <c r="F70" s="14" t="inlineStr">
        <is>
          <t>양호</t>
        </is>
      </c>
      <c r="H70" s="12">
        <f>IF(COUNTIF(I70:I72,"N/A")=COUNTA(I70:I72),"N/A",AVERAGE(I70:I72))</f>
        <v/>
      </c>
      <c r="I70" s="12">
        <f>IF(COUNTIF($F70:$F70,"N/A")=COUNTA($F70:$F70),"N/A",$J70/(COUNTA($F70:$F70)-$L70))</f>
        <v/>
      </c>
      <c r="J70" s="9">
        <f>COUNTIF($F70:$F70,"양호")</f>
        <v/>
      </c>
      <c r="K70" s="9">
        <f>COUNTIF($F70:$F70,"취약")</f>
        <v/>
      </c>
      <c r="L70" s="9">
        <f>COUNTIF($F70:$F70,"N/A")</f>
        <v/>
      </c>
    </row>
    <row r="71">
      <c r="B71" s="15" t="n"/>
      <c r="C71" s="9" t="inlineStr">
        <is>
          <t>U-66</t>
        </is>
      </c>
      <c r="D71" s="2" t="inlineStr">
        <is>
          <t>정책에 따른 시스템 로깅 설정</t>
        </is>
      </c>
      <c r="E71" s="9" t="inlineStr">
        <is>
          <t>중</t>
        </is>
      </c>
      <c r="F71" s="14" t="inlineStr">
        <is>
          <t>양호</t>
        </is>
      </c>
      <c r="H71" s="15" t="n"/>
      <c r="I71" s="12">
        <f>IF(COUNTIF($F71:$F71,"N/A")=COUNTA($F71:$F71),"N/A",$J71/(COUNTA($F71:$F71)-$L71))</f>
        <v/>
      </c>
      <c r="J71" s="9">
        <f>COUNTIF($F71:$F71,"양호")</f>
        <v/>
      </c>
      <c r="K71" s="9">
        <f>COUNTIF($F71:$F71,"취약")</f>
        <v/>
      </c>
      <c r="L71" s="9">
        <f>COUNTIF($F71:$F71,"N/A")</f>
        <v/>
      </c>
    </row>
    <row r="72">
      <c r="B72" s="15" t="n"/>
      <c r="C72" s="9" t="inlineStr">
        <is>
          <t>U-67</t>
        </is>
      </c>
      <c r="D72" s="2" t="inlineStr">
        <is>
          <t>로그 디렉터리 및 파일 권한 설정</t>
        </is>
      </c>
      <c r="E72" s="9" t="inlineStr">
        <is>
          <t>중</t>
        </is>
      </c>
      <c r="F72" s="14" t="inlineStr">
        <is>
          <t>양호</t>
        </is>
      </c>
      <c r="H72" s="15" t="n"/>
      <c r="I72" s="12">
        <f>IF(COUNTIF($F72:$F72,"N/A")=COUNTA($F72:$F72),"N/A",$J72/(COUNTA($F72:$F72)-$L72))</f>
        <v/>
      </c>
      <c r="J72" s="9">
        <f>COUNTIF($F72:$F72,"양호")</f>
        <v/>
      </c>
      <c r="K72" s="9">
        <f>COUNTIF($F72:$F72,"취약")</f>
        <v/>
      </c>
      <c r="L72" s="9">
        <f>COUNTIF($F72:$F72,"N/A")</f>
        <v/>
      </c>
    </row>
    <row r="73">
      <c r="B73" s="1" t="inlineStr">
        <is>
          <t>점검결과</t>
        </is>
      </c>
      <c r="C73" s="9" t="inlineStr">
        <is>
          <t>취약항목 개수</t>
        </is>
      </c>
      <c r="D73" s="9" t="n"/>
      <c r="E73" s="9" t="n"/>
      <c r="F73" s="18">
        <f>COUNTIF(F6:F72,"취약")</f>
        <v/>
      </c>
    </row>
    <row r="74">
      <c r="B74" s="9" t="n"/>
      <c r="C74" s="9" t="inlineStr">
        <is>
          <t>보안 적용율 (양호항목 / 진단항목) %</t>
        </is>
      </c>
      <c r="D74" s="9" t="n"/>
      <c r="E74" s="9" t="n"/>
      <c r="F74" s="12">
        <f>(COUNTIF(F6:F72,"양호"))/(COUNTA(F6:F72)-COUNTIF(F6:F72,"N/A"))</f>
        <v/>
      </c>
    </row>
  </sheetData>
  <mergeCells count="16">
    <mergeCell ref="B70:B72"/>
    <mergeCell ref="H70:H72"/>
    <mergeCell ref="B39:B68"/>
    <mergeCell ref="C74:E74"/>
    <mergeCell ref="C3:C5"/>
    <mergeCell ref="H39:H68"/>
    <mergeCell ref="B2:L2"/>
    <mergeCell ref="E3:E5"/>
    <mergeCell ref="H6:H18"/>
    <mergeCell ref="B6:B18"/>
    <mergeCell ref="C73:E73"/>
    <mergeCell ref="D3:D5"/>
    <mergeCell ref="B3:B5"/>
    <mergeCell ref="B73:B74"/>
    <mergeCell ref="B19:B38"/>
    <mergeCell ref="H19:H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6" customWidth="1" min="3" max="3"/>
    <col width="44" customWidth="1" min="4" max="4"/>
    <col width="90" customWidth="1" min="5" max="5"/>
    <col width="6" customWidth="1" min="6" max="6"/>
    <col width="50" customWidth="1" min="7" max="7"/>
    <col width="6" customWidth="1" min="8" max="8"/>
    <col width="50" customWidth="1" min="9" max="9"/>
  </cols>
  <sheetData>
    <row r="1"/>
    <row r="2" ht="26" customHeight="1">
      <c r="B2" s="13" t="inlineStr">
        <is>
          <t>Check방 취약점 진단 상세 진단결과 (67항목)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진단기준</t>
        </is>
      </c>
      <c r="F3" s="7" t="inlineStr">
        <is>
          <t>최초진단결과</t>
        </is>
      </c>
      <c r="G3" s="7" t="inlineStr">
        <is>
          <t>최초 판단 근거</t>
        </is>
      </c>
      <c r="H3" s="7" t="inlineStr">
        <is>
          <t>최종진단결과</t>
        </is>
      </c>
      <c r="I3" s="7" t="inlineStr">
        <is>
          <t>최종 판단 근거</t>
        </is>
      </c>
    </row>
    <row r="4"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B6" s="9" t="inlineStr">
        <is>
          <t>계정 관리</t>
        </is>
      </c>
      <c r="C6" s="9" t="inlineStr">
        <is>
          <t>U-01</t>
        </is>
      </c>
      <c r="D6" s="2" t="inlineStr">
        <is>
          <t>root 계정 원격 접속 제한</t>
        </is>
      </c>
      <c r="E6" s="2" t="inlineStr">
        <is>
          <t>양호 : 원격터미널 서비스를 사용하지 않거나, 사용 시 root 직접 접속을 차단한 경우
취약 : 원격터미널 서비스 사용 시 root 직접 접속을 허용한 경우</t>
        </is>
      </c>
      <c r="F6" s="17" t="inlineStr">
        <is>
          <t>취약</t>
        </is>
      </c>
      <c r="G6" s="2" t="inlineStr">
        <is>
          <t>- 판단기준의 '원격터미널 서비스 사용 시 root 직접 접속을 차단한 경우(양호)'에 해당 ↔ 점검내용의 'sshd_config: PermitRootLogin No' 라인에서 SSH root 직접 로그인이 차단됨
- 판단기준의 '원격터미널 서비스를 사용하지 않는 경우(양호)' 보조 근거 ↔ 점검내용의 'Telnet 서비스: 비활성(미설치/미사용)'으로 평문 원격터미널 서비스가 운영되지 않음
- 원시 라인상 PermitRootLogin 값이 명시적으로 No 이며 yes/without-password 등 root 허용 설정이 없어 이상치 없음</t>
        </is>
      </c>
      <c r="H6" s="14" t="inlineStr">
        <is>
          <t>양호</t>
        </is>
      </c>
      <c r="I6" s="2" t="inlineStr">
        <is>
          <t>- 판단기준의 '원격터미널 서비스 사용 시 root 직접 접속을 차단한 경우(양호)'에 해당함
- 점검내용 'sshd_config: PermitRootLogin No' 라인에서 SSH의 root 직접 로그인이 명시적으로 차단되어 있음
- 점검내용 'Telnet 서비스: 비활성(미설치/미사용)' 라인에서 평문 원격터미널 서비스도 사용하지 않아 root 원격 접속 경로가 없음
- root 직접 접속을 허용하는 비표준 설정(PermitRootLogin yes 등)이나 의심 항목이 발견되지 않음</t>
        </is>
      </c>
    </row>
    <row r="7">
      <c r="B7" s="15" t="n"/>
      <c r="C7" s="9" t="inlineStr">
        <is>
          <t>U-02</t>
        </is>
      </c>
      <c r="D7" s="2" t="inlineStr">
        <is>
          <t>비밀번호 관리정책 설정</t>
        </is>
      </c>
      <c r="E7" s="2" t="inlineStr">
        <is>
          <t>양호 : 비밀번호 관리 정책이 설정된 경우
취약 : 비밀번호 관리 정책이 설정되지 않은 경우</t>
        </is>
      </c>
      <c r="F7" s="17" t="inlineStr">
        <is>
          <t>취약</t>
        </is>
      </c>
      <c r="G7" s="2" t="inlineStr">
        <is>
          <t>- (판단기준: 비밀번호 관리 정책 설정) /etc/login.defs 의 PASS_MAX_DAYS 90 으로 최대 사용기간이 90일 이내로 설정되어 있어 기준을 충족함
- (복잡성: 최소 길이) /etc/security/pwquality.conf 의 minlen = 8 로 최소 8자 이상 설정되어 양호함
- (복잡성: 문자 종류) dcredit=-1, ucredit=-1, lcredit=-1, ocredit=-1 로 숫자/대문자/소문자/특수문자 각 1자 이상 포함을 강제하고 enforce_for_root 로 root 에도 적용됨
- (PAM 적용) /etc/pam.d/system-auth 에 password requisite pam_pwquality.so retry=3 으로 복잡성 검사가 적용되고, pam_pwhistory.so remember=4 enforce_for_root 로 과거 비밀번호 재사용이 제한됨(pwhistory.conf 의 remember=4, enforce_for_root 와 일치)
- (참고) PASS_MIN_DAYS 0 으로 최소 사용기간이 0일(권고값 1일 이상 미설정)이나, 핵심 비밀번호 관리 정책(최대기간·복잡성·길이·이력)이 모두 설정되어 있어 종합적으로 양호로 판정함</t>
        </is>
      </c>
      <c r="H7" s="14" t="inlineStr">
        <is>
          <t>양호</t>
        </is>
      </c>
      <c r="I7" s="2" t="inlineStr">
        <is>
          <t>- 판단기준은 비밀번호 관리 정책(만료/최소사용/복잡도/이력)이 적정하게 설정되어야 양호인데, /etc/login.defs 의 'PASS_MIN_DAYS 0' 라인은 비밀번호 최소 사용일수가 0으로 설정되어 사용자가 변경 직후 즉시 재변경이 가능하다(권고값 1 이상 미충족).
- PASS_MIN_DAYS 0 은 password 의 'remember=4'(pwhistory.conf 및 system-auth) 이력 정책을 무력화할 수 있어 — 이력 한도를 빠르게 소진해 동일/유사 비밀번호 재사용이 가능해지는 취약 요인이다.
- 'PASS_MAX_DAYS 90'(최대 90일), pwquality.conf 의 'minlen = 8' 및 dcredit/ucredit/lcredit/ocredit = -1(영문 대소문자·숫자·특수문자 각 1자 이상), 'enforce_for_root', system-auth 의 pam_pwquality(retry=3)·pam_pwhistory(remember=4) 적용은 양호하게 설정되어 있다.
- 그러나 최소 사용일수 미설정(0)이라는 미흡 항목이 1건 존재하므로, 증적 부족이 아닌 명시적 설정 결함으로 보수적으로 '취약'으로 판정한다.</t>
        </is>
      </c>
    </row>
    <row r="8">
      <c r="B8" s="15" t="n"/>
      <c r="C8" s="9" t="inlineStr">
        <is>
          <t>U-03</t>
        </is>
      </c>
      <c r="D8" s="2" t="inlineStr">
        <is>
          <t>계정 잠금 임계값 설정</t>
        </is>
      </c>
      <c r="E8" s="2" t="inlineStr">
        <is>
          <t>양호 : 계정 잠금 임계값이 10회 이하의 값으로 설정된 경우
취약 : 계정 잠금 임계값이 설정되어 있지 않거나, 10회 이하의 값으로 설정되지 않은 경우</t>
        </is>
      </c>
      <c r="F8" s="17" t="inlineStr">
        <is>
          <t>취약</t>
        </is>
      </c>
      <c r="G8" s="2" t="inlineStr">
        <is>
          <t>- 판단기준(계정 잠금 임계값 10회 이하 설정)에 대응하여, 점검내용의 `auth required pam_faillock.so preauth silent audit deny=10 unlock_time=120` 라인에서 `deny=10` 으로 임계값이 설정되어 있음
- `auth [default=die] pam_faillock.so authfail audit deny=10 unlock_time=120` 라인에서도 `deny=10` 으로 동일하게 설정되어 인증 실패 처리 경로에 임계값이 적용됨
- 설정값 deny=10 은 기준(10회 이하)을 충족하며, preauth/authfail 양쪽 모두 임계값이 누락되지 않고 일관되게 적용되어 이상치 없음</t>
        </is>
      </c>
      <c r="H8" s="14" t="inlineStr">
        <is>
          <t>양호</t>
        </is>
      </c>
      <c r="I8" s="2" t="inlineStr">
        <is>
          <t>- 판단기준의 '계정 잠금 임계값이 10회 이하로 설정' 조건과 점검내용의 'auth required pam_faillock.so preauth silent audit deny=10 unlock_time=120' 라인이 대응되어, deny=10 으로 임계값이 설정되어 있음
- authfail 단계의 'auth [default=die] pam_faillock.so authfail audit deny=10 unlock_time=120' 라인에서도 deny=10 으로 동일하게 임계값이 적용되어 있음
- deny 값이 10 으로 '10회 이하' 기준을 충족하며, 임계값 미설정(취약) 사유에 해당하지 않으므로 양호로 판정</t>
        </is>
      </c>
    </row>
    <row r="9">
      <c r="B9" s="15" t="n"/>
      <c r="C9" s="9" t="inlineStr">
        <is>
          <t>U-04</t>
        </is>
      </c>
      <c r="D9" s="2" t="inlineStr">
        <is>
          <t>비밀번호 파일 보호</t>
        </is>
      </c>
      <c r="E9" s="2" t="inlineStr">
        <is>
          <t>양호 : 쉐도우 비밀번호를 사용하거나, 비밀번호를 암호화하여 저장하는 경우
취약 : 쉐도우 비밀번호를 사용하지 않고, 비밀번호를 암호화하여 저장하지 않는 경우</t>
        </is>
      </c>
      <c r="F9" s="17" t="inlineStr">
        <is>
          <t>취약</t>
        </is>
      </c>
      <c r="G9" s="2" t="inlineStr">
        <is>
          <t>- 판단기준의 '쉐도우 비밀번호를 사용' 조건 ↔ 점검내용 '/etc/passwd 평문 암호필드(2번째 비-x) 계정: 없음' 라인으로, 모든 계정의 비밀번호 필드가 'x'로 설정되어 실제 해시는 /etc/shadow로 분리됨을 확인
- 판단기준의 '비밀번호를 암호화하여 저장' 조건 ↔ '/etc/shadow ... 존재·권한만' 및 '---------- (0) root:root /etc/shadow' 라인으로 shadow 파일이 실제 존재하여 쉐도우 패스워드 체계가 동작 중임을 확인
- 추가로 /etc/shadow 권한이 '----------(000)', 소유자 root:root 로 일반 사용자 접근이 차단되어 비밀번호 해시 노출 위험이 없는 양호한 상태
- 평문 비밀번호를 보유한 비-x 계정이 하나도 없어 이상치(취약 의심 계정)가 발견되지 않음</t>
        </is>
      </c>
      <c r="H9" s="14" t="inlineStr">
        <is>
          <t>양호</t>
        </is>
      </c>
      <c r="I9" s="2" t="inlineStr">
        <is>
          <t>- 판단기준의 '쉐도우 비밀번호를 사용' 조건 ↔ 점검내용에 '/etc/shadow' 파일이 존재(root:root 소유)하므로 쉐도우 패스워드 체계를 사용 중
- 판단기준의 '평문 저장하지 않음' 조건 ↔ '/etc/passwd 평문 암호필드(2번째 비-x) 계정: 없음'으로, 패스워드 필드가 모두 x 처리되어 평문/암호화 해시가 passwd에 노출되지 않음
- /etc/shadow 권한이 ----------(0) 즉 모든 권한 제거(소유자 root:root)로, 일반 사용자의 해시 접근이 차단되어 비밀번호 파일이 보호되고 있음
- 평문 암호 계정 및 비정상 패스워드 필드가 발견되지 않아 이상치 없음 → 양호</t>
        </is>
      </c>
    </row>
    <row r="10">
      <c r="B10" s="15" t="n"/>
      <c r="C10" s="9" t="inlineStr">
        <is>
          <t>U-05</t>
        </is>
      </c>
      <c r="D10" s="2" t="inlineStr">
        <is>
          <t>root 이외의 UID '0' 금지</t>
        </is>
      </c>
      <c r="E10" s="2" t="inlineStr">
        <is>
          <t>양호 : root 계정과 동일한 UID를 갖는 계정이 존재하지 않는 경우
취약 : root 계정과 동일한 UID를 갖는 계정이 존재하는 경우</t>
        </is>
      </c>
      <c r="F10" s="17" t="inlineStr">
        <is>
          <t>취약</t>
        </is>
      </c>
      <c r="G10" s="2" t="inlineStr">
        <is>
          <t>- 판단기준의 '양호: root 계정과 동일한 UID를 갖는 계정이 존재하지 않는 경우'에 해당함
- 점검내용 'UID 0 계정: root' 라인에서 UID 0을 가진 계정이 root 단 하나만 존재함
- root 이외에 UID 0을 공유하는 비표준 계정(예: toor 등)이 발견되지 않아 이상치 없음</t>
        </is>
      </c>
      <c r="H10" s="14" t="inlineStr">
        <is>
          <t>양호</t>
        </is>
      </c>
      <c r="I10" s="2" t="inlineStr">
        <is>
          <t>- 판단기준상 'root 이외에 UID 0을 갖는 계정이 존재하지 않는 경우' 양호인데, 점검내용 'UID 0 계정: root' 라인에서 UID 0 보유 계정이 root 단 하나만 확인됨
- root 외에 UID 0을 공유하는 비표준 계정(예: toor 등)이 열거되지 않아 권한 상승 위험 계정이 없음</t>
        </is>
      </c>
    </row>
    <row r="11">
      <c r="B11" s="15" t="n"/>
      <c r="C11" s="9" t="inlineStr">
        <is>
          <t>U-06</t>
        </is>
      </c>
      <c r="D11" s="2" t="inlineStr">
        <is>
          <t>사용자 계정 su 기능 제한</t>
        </is>
      </c>
      <c r="E11" s="2" t="inlineStr">
        <is>
          <t>양호 : su 명령어를 특정 그룹에 속한 사용자만 사용하도록 제한된 경우
취약 : su 명령어를 모든 사용자가 사용하도록 설정된 경우</t>
        </is>
      </c>
      <c r="F11" s="14" t="inlineStr">
        <is>
          <t>양호</t>
        </is>
      </c>
      <c r="G11" s="2" t="inlineStr">
        <is>
          <t>- 판단기준(특정 그룹에 속한 사용자만 su 사용)과 관련하여 /etc/pam.d/su 에 'auth required pam_wheel.so use_uid' 설정이 적용되어 있어, wheel 그룹 구성원만 su 명령 사용이 가능하도록 제한되어 있음
- pam_wheel.so 모듈이 required 제어플래그로 강제 적용되고 use_uid 옵션까지 포함되어, 실제 UID 기준으로 그룹 검사가 수행되므로 모든 사용자 허용 상태가 아님
- /etc/group 의 'wheel:x:10:ec2-user' 라인에서 su 허용 그룹(wheel)이 비어있지 않고 ec2-user 멤버가 등록되어 있어 그룹 기반 제한이 실질적으로 동작함
- 따라서 su 명령이 모든 사용자에게 개방된 취약 조건에 해당하지 않으므로 양호로 판정함</t>
        </is>
      </c>
      <c r="H11" s="14" t="inlineStr">
        <is>
          <t>양호</t>
        </is>
      </c>
      <c r="I11" s="2" t="inlineStr">
        <is>
          <t>- 판단기준의 '특정 그룹에 속한 사용자만 su 사용 제한' 조건 ↔ /etc/pam.d/su 의 'auth required pam_wheel.so use_uid' 라인이 활성화되어 있어 wheel 그룹 멤버만 su 사용이 허용됨
- pam_wheel.so 모듈이 'required' 제어플래그로 설정되어 있어 그룹 미소속 사용자의 su 시도는 인증 단계에서 차단됨(모든 사용자 허용 상태가 아님)
- /etc/group 의 'wheel:x:10:ec2-user' 라인에서 wheel 그룹에 실제 멤버(ec2-user)가 지정되어 있어 제한 설정이 유효하게 동작함
- 따라서 'su 명령어를 모든 사용자가 사용하도록 설정된 경우'(취약)에 해당하지 않으며 양호로 판정</t>
        </is>
      </c>
    </row>
    <row r="12">
      <c r="B12" s="15" t="n"/>
      <c r="C12" s="9" t="inlineStr">
        <is>
          <t>U-07</t>
        </is>
      </c>
      <c r="D12" s="2" t="inlineStr">
        <is>
          <t>불필요한 계정 제거</t>
        </is>
      </c>
      <c r="E12" s="2" t="inlineStr">
        <is>
          <t>양호 : 불필요한 계정이 존재하지 않는 경우
취약 : 불필요한 계정이 존재하는 경우</t>
        </is>
      </c>
      <c r="F12" s="14" t="inlineStr">
        <is>
          <t>양호</t>
        </is>
      </c>
      <c r="G12" s="2" t="inlineStr">
        <is>
          <t>- (판단기준: 불필요한 계정 존재 여부) ↔ '# 불필요(권고 제거) 후보 매칭: 없음' 라인으로, 권고 제거 대상 사전목록에 매칭되는 계정이 확인되지 않음
- (이상치 우선 검토: 사전목록 외 비표준 계정) ↔ 전체 계정 목록의 root, bin, daemon, adm, sync, shutdown, halt, mail, operator, nobody, dbus, rpc, sshd, tcpdump 등은 모두 OS 기본 시스템 계정이며, systemd-network/oom/resolve/coredump/timesync, chrony, libstoragemgmt, ec2-instance-connect, stapunpriv, rpcuser 등도 amzn(Amazon Linux) 표준 서비스 계정으로 화이트리스트에 해당
- (로그인 가능 계정 점검) ↔ 로그인 셸을 가진 계정은 root(/bin/bash)와 ec2-user(uid=1000, /bin/bash) 뿐이며, ec2-user는 Amazon Linux의 정상 관리자 계정이고 나머지 시스템 계정은 모두 /sbin/nologin 또는 /usr/sbin/nologin으로 로그인이 차단되어 있음
- (차집합 결과) ↔ 표준/정상 패턴에 매칭되지 않는 의심 계정(비표준 UID·셸을 가진 불명 계정 등)이 발견되지 않아 불필요한 계정이 존재하지 않음</t>
        </is>
      </c>
      <c r="H12" s="14" t="inlineStr">
        <is>
          <t>양호</t>
        </is>
      </c>
      <c r="I12" s="2" t="inlineStr">
        <is>
          <t>- 판단기준의 '불필요한 계정이 존재하지 않는 경우 → 양호'에 해당하며, 점검내용 첫 줄 '# 불필요(권고 제거) 후보 매칭: 없음'으로 권고 제거 대상 계정이 식별되지 않음
- 전체 계정 목록을 화이트리스트(표준 시스템 계정) 차집합 방식으로 검토한 결과, root/bin/daemon/adm/sync/shutdown/halt/mail/operator/nobody/dbus/systemd-*/rpc/libstoragemgmt/sshd/chrony/rpcuser/tcpdump 등은 모두 Amazon Linux 기본 제공 시스템 계정으로 정상 범주에 속함
- ec2-instance-connect(uid=993), stapunpriv(uid=159) 등도 EC2/시스템 환경에서 정상적으로 생성되는 표준 서비스 계정으로 비표준 이상치에 해당하지 않음
- 로그인 가능 셸(/bin/bash)을 가진 계정은 root(uid=0)와 ec2-user(uid=1000) 뿐이며 두 계정 모두 관리 목적의 정당한 계정이고, 나머지 시스템 계정은 모두 /sbin/nologin 또는 /usr/sbin/nologin으로 로그인이 차단되어 있음
- lp, games, ftp, uucp, news, gopher 등 일반적으로 제거 권고되는 불필요 계정이 목록에 존재하지 않음</t>
        </is>
      </c>
    </row>
    <row r="13">
      <c r="B13" s="15" t="n"/>
      <c r="C13" s="9" t="inlineStr">
        <is>
          <t>U-08</t>
        </is>
      </c>
      <c r="D13" s="2" t="inlineStr">
        <is>
          <t>관리자 그룹에 최소한의 계정 포함</t>
        </is>
      </c>
      <c r="E13" s="2" t="inlineStr">
        <is>
          <t>양호 : 관리자 그룹에 불필요한 계정이 등록되어 있지 않은 경우
취약 : 관리자 그룹에 불필요한 계정이 등록된 경우</t>
        </is>
      </c>
      <c r="F13" s="14" t="inlineStr">
        <is>
          <t>양호</t>
        </is>
      </c>
      <c r="G13" s="2" t="inlineStr">
        <is>
          <t>- 판단기준의 '관리자 그룹에 불필요한 계정이 등록되어 있지 않은 경우(양호)'에 해당함
- 점검내용 'root 그룹(gid 0) 멤버: 없음' 라인에서 root 그룹에 추가로 등록된 일반 계정이 존재하지 않음을 확인함
- gid 0(root) 그룹 멤버 목록이 비어 있어 화이트리스트 차집합(비표준 계정) 의심 항목이 없음</t>
        </is>
      </c>
      <c r="H13" s="14" t="inlineStr">
        <is>
          <t>양호</t>
        </is>
      </c>
      <c r="I13" s="2" t="inlineStr">
        <is>
          <t>- 판단기준의 '관리자 그룹에 불필요한 계정이 등록되어 있지 않은 경우(양호)' 조건에 해당함
- 점검내용 라인 'root 그룹(gid 0) 멤버: 없음' — 관리자 그룹(root, gid 0)에 root 외 추가 등록된 계정이 전혀 없음
- 화이트리스트 차집합 관점에서도 비표준 의심 계정(불필요 계정)이 존재하지 않으므로 이상치 없음</t>
        </is>
      </c>
    </row>
    <row r="14">
      <c r="B14" s="15" t="n"/>
      <c r="C14" s="9" t="inlineStr">
        <is>
          <t>U-09</t>
        </is>
      </c>
      <c r="D14" s="2" t="inlineStr">
        <is>
          <t>계정이 존재하지 않는 GID 금지</t>
        </is>
      </c>
      <c r="E14" s="2" t="inlineStr">
        <is>
          <t>양호 : 시스템 관리나 운용에 불필요한 그룹이 제거된 경우
취약 : 시스템 관리나 운용에 불필요한 그룹이 존재하는 경우</t>
        </is>
      </c>
      <c r="F14" s="14" t="inlineStr">
        <is>
          <t>양호</t>
        </is>
      </c>
      <c r="G14" s="2" t="inlineStr">
        <is>
          <t>- 판단기준의 '시스템 관리/운용에 불필요한 그룹 제거 여부' ↔ 점검내용 첫 줄 '# 불필요(권고 제거) 후보 매칭: 없음'으로, 권고 제거 대상 그룹이 식별되지 않음
- 전체 그룹 목록(root, bin, daemon, sys, adm, wheel, mail, ssh_keys, sshd, chrony, systemd-* 등)이 모두 Amazon Linux(amzn) 기본 제공 시스템 그룹 범주에 해당하며, 비표준/임의 생성 그룹이나 GID 충돌 그룹이 발견되지 않음(화이트리스트 차집합 = 없음)
- 멤버가 부여된 그룹(adm=ec2-user, wheel=ec2-user, systemd-journal=ec2-user, stapunpriv=stapunpriv)도 정상적인 계정과 매핑되어 있어, 계정이 존재하지 않거나 운용상 불필요한 잔존 그룹으로 볼 근거가 없음
- 따라서 불필요한 그룹이 존재하지 않으므로 양호로 판정</t>
        </is>
      </c>
      <c r="H14" s="14" t="inlineStr">
        <is>
          <t>양호</t>
        </is>
      </c>
      <c r="I14" s="2" t="inlineStr">
        <is>
          <t>- 판단기준의 '불필요한 그룹 존재 여부'에 대응하여, 점검내용 첫 줄 '# 불필요(권고 제거) 후보 매칭: 없음' 으로 제거 권고 대상 그룹이 식별되지 않음
- 전체 그룹 목록(root~ec2-user)은 모두 Amazon Linux 기본 시스템/서비스 그룹(systemd-*, dbus, sshd, chrony, rpc, ec2-instance-connect 등) 및 표준 그룹(root, bin, daemon, wheel, users, nobody 등)으로 구성되어 표준 화이트리스트에 매칭됨
- 화이트리스트 차집합 관점에서 비표준·의심 그룹(불필요한 임의 생성 그룹, 비정상 GID 등)이 발견되지 않음
- 시스템 관리·운용에 불필요한 그룹이 존재하지 않으므로 양호로 판정</t>
        </is>
      </c>
    </row>
    <row r="15">
      <c r="B15" s="15" t="n"/>
      <c r="C15" s="9" t="inlineStr">
        <is>
          <t>U-10</t>
        </is>
      </c>
      <c r="D15" s="2" t="inlineStr">
        <is>
          <t>동일한 UID 금지</t>
        </is>
      </c>
      <c r="E15" s="2" t="inlineStr">
        <is>
          <t>양호 : 동일한 UID로 설정된 사용자 계정이 존재하지 않는 경우
취약 : 동일한 UID로 설정된 사용자 계정이 존재하는 경우</t>
        </is>
      </c>
      <c r="F15" s="14" t="inlineStr">
        <is>
          <t>양호</t>
        </is>
      </c>
      <c r="G15" s="2" t="inlineStr">
        <is>
          <t>- 판단기준(동일 UID로 설정된 사용자 계정이 존재하지 않는 경우 양호) ↔ 점검내용 첫 줄 '# 중복 UID: 없음'으로 중복 UID가 없음이 명시됨
- 전체 계정 목록(UID: 계정명)을 확인한 결과 0(root)부터 65534(nobody)까지 각 UID가 단일 계정에만 매핑되어 있어 동일 UID 공유 계정이 없음
- root(UID 0) 역시 단독으로 매핑되어 있어 권한 우회 위험이 있는 UID 0 중복도 발견되지 않음
- 비표준/의심 UID 중복 항목을 차집합으로 확인했으나 중복되는 이상치 항목이 존재하지 않음</t>
        </is>
      </c>
      <c r="H15" s="14" t="inlineStr">
        <is>
          <t>양호</t>
        </is>
      </c>
      <c r="I15" s="2" t="inlineStr">
        <is>
          <t>- 판단기준의 양호 조건(동일한 UID로 설정된 사용자 계정이 존재하지 않는 경우)에 부합 — 점검내용 첫 줄 '# 중복 UID: 없음' 으로 명시됨
- 전체 계정 목록(UID: 계정명)의 UID 값(0,1,2,3,5,6,7,8,11,29,32,72,74,81,159,192,193,993~998,1000,65534)이 모두 상이하여 중복되는 UID가 확인되지 않음
- root(UID 0)도 단독으로 존재하며 동일 UID를 공유하는 비표준 계정이 발견되지 않음</t>
        </is>
      </c>
    </row>
    <row r="16">
      <c r="B16" s="15" t="n"/>
      <c r="C16" s="9" t="inlineStr">
        <is>
          <t>U-11</t>
        </is>
      </c>
      <c r="D16" s="2" t="inlineStr">
        <is>
          <t>사용자 Shell 점검</t>
        </is>
      </c>
      <c r="E16" s="2" t="inlineStr">
        <is>
          <t>양호 : 로그인이 필요하지 않은 계정에 /bin/false(/sbin/nologin) 쉘이 부여된 경우
취약 : 로그인이 필요하지 않은 계정에 /bin/false(/sbin/nologin) 쉘이 부여되지 않은 경우</t>
        </is>
      </c>
      <c r="F16" s="14" t="inlineStr">
        <is>
          <t>양호</t>
        </is>
      </c>
      <c r="G16" s="2" t="inlineStr">
        <is>
          <t>- 판단기준(로그인이 필요하지 않은 계정에 /bin/false 또는 /sbin/nologin 부여 시 양호)과 점검내용 대조 결과, 시스템/서비스 계정 전체(bin, daemon, adm, sync, shutdown, halt, mail, operator, nobody, dbus, systemd-*, rpc, libstoragemgmt, sshd, chrony, ec2-instance-connect, stapunpriv, rpcuser, tcpdump)가 모두 /sbin/nologin 또는 /usr/sbin/nologin 으로 설정되어 로그인이 차단됨
- 로그인 셸(/bin/bash)이 부여된 계정은 root(관리자)와 ec2-user(amzn 기본 운영자 계정)뿐으로, 이는 실제 로그인이 필요한 정상 계정에 해당함
- 점검내용 첫 줄 '로그인 셸 부여된 불필요(시스템) 계정: 없음'과 일치하며, 비표준 셸이나 화이트리스트에 없는 의심 계정(예: 시스템 계정에 /bin/bash 부여 등)은 발견되지 않음</t>
        </is>
      </c>
      <c r="H16" s="14" t="inlineStr">
        <is>
          <t>양호</t>
        </is>
      </c>
      <c r="I16" s="2" t="inlineStr">
        <is>
          <t>- 판단기준은 로그인이 필요 없는 계정에 /bin/false(/sbin/nologin) 쉘이 부여되어야 양호이다.
- 점검내용 상단 '# 로그인 셸 부여된 불필요(시스템) 계정: 없음'으로 비정상 계정이 없음을 명시한다.
- 전체 계정:셸 목록에서 bin·daemon·adm·sync·shutdown·halt·mail·operator·nobody·dbus·rpc·sshd·chrony·ec2-instance-connect·stapunpriv·rpcuser·tcpdump 등 시스템 계정 모두 /sbin/nologin 또는 /usr/sbin/nologin이 부여되어 있다.
- 로그인 가능한 /bin/bash 쉘은 root와 ec2-user(amzn 기본 관리자 계정)뿐으로, 실제 로그인이 필요한 계정에 한정되어 이상치(비표준 실행 쉘을 가진 불필요 계정)가 존재하지 않는다.</t>
        </is>
      </c>
    </row>
    <row r="17">
      <c r="B17" s="15" t="n"/>
      <c r="C17" s="9" t="inlineStr">
        <is>
          <t>U-12</t>
        </is>
      </c>
      <c r="D17" s="2" t="inlineStr">
        <is>
          <t>세션 종료 시간 설정</t>
        </is>
      </c>
      <c r="E17" s="2" t="inlineStr">
        <is>
          <t>양호 : Session Timeout이 600초(10분) 이하로 설정된 경우
취약 : Session Timeout이 600초(10분) 이하로 설정되지 않은 경우</t>
        </is>
      </c>
      <c r="F17" s="14" t="inlineStr">
        <is>
          <t>양호</t>
        </is>
      </c>
      <c r="G17" s="2" t="inlineStr">
        <is>
          <t>- 판단기준의 '양호' 조건은 Session Timeout(TMOUT)이 600초(10분) 이하로 설정된 경우임
- 점검내용 라인 `/etc/profile:TMOUT=600` 에서 TMOUT 값이 600초로 명시되어 있으며, 이는 600초 이하 기준을 정확히 충족함
- /etc/profile 에 TMOUT 변수가 정상적으로 선언되어 있어 세션 종료 시간이 적용되므로 양호로 판정함</t>
        </is>
      </c>
      <c r="H17" s="14" t="inlineStr">
        <is>
          <t>양호</t>
        </is>
      </c>
      <c r="I17" s="2" t="inlineStr">
        <is>
          <t>- 판단기준(양호): Session Timeout이 600초(10분) 이하로 설정 ↔ 점검내용 '/etc/profile:TMOUT=600' 라인에서 TMOUT 값이 600초로 설정됨
- 600초는 기준값 600초 이하 조건을 충족하므로 세션 종료 시간이 적절히 설정됨
- 의심 항목 없음: /etc/profile에 TMOUT 미설정·초과 설정 등 이상치가 확인되지 않음</t>
        </is>
      </c>
    </row>
    <row r="18">
      <c r="B18" s="15" t="n"/>
      <c r="C18" s="9" t="inlineStr">
        <is>
          <t>U-13</t>
        </is>
      </c>
      <c r="D18" s="2" t="inlineStr">
        <is>
          <t>안전한 비밀번호 암호화 알고리즘 사용</t>
        </is>
      </c>
      <c r="E18" s="2" t="inlineStr">
        <is>
          <t>양호 : SHA-2 이상의 안전한 비밀번호 암호화 알고리즘을 사용하는 경우
취약 : 취약한 비밀번호 암호화 알고리즘을 사용하는 경우</t>
        </is>
      </c>
      <c r="F18" s="14" t="inlineStr">
        <is>
          <t>양호</t>
        </is>
      </c>
      <c r="G18" s="2" t="inlineStr">
        <is>
          <t>- 판단기준의 '양호(SHA-2 이상의 안전한 암호화 알고리즘 사용)'에 대응 — /etc/login.defs의 'ENCRYPT_METHOD YESCRYPT' 라인은 SHA-512보다 강력한 안전한 알고리즘(yescrypt)을 비밀번호 암호화 방식으로 지정하고 있다.
- PAM 설정도 일치 — /etc/pam.d/password-auth 및 /etc/pam.d/system-auth의 'password sufficient pam_unix.so ... sha512 shadow' 라인에서 pam_unix가 SHA-512 해시를 사용하도록 명시되어 있어 SHA-2 이상 기준을 충족한다.
- MD5/DES/SHA-1 등 취약한 알고리즘을 지정한 라인이 점검내용에 존재하지 않으므로 '취약' 사유에 해당하지 않는다.</t>
        </is>
      </c>
      <c r="H18" s="14" t="inlineStr">
        <is>
          <t>양호</t>
        </is>
      </c>
      <c r="I18" s="2" t="inlineStr">
        <is>
          <t>- (판단기준: SHA-2 이상의 안전한 알고리즘 사용 시 양호) ↔ /etc/login.defs 의 'ENCRYPT_METHOD YESCRYPT' 설정은 yescrypt(고강도 KDF)로, SHA-2 이상의 안전한 비밀번호 암호화 알고리즘 요건을 충족함
- (판단기준: 취약 알고리즘(DES/MD5 등) 사용 금지) ↔ /etc/pam.d/password-auth, /etc/pam.d/system-auth 의 pam_unix.so 옵션에 'sha512' 가 지정되어 있어 MD5·DES 등 취약 알고리즘이 아닌 SHA-512 해시를 사용함
- login.defs(yescrypt)와 PAM(sha512) 모두 안전한 알고리즘으로 일관 설정되어 있으며, crypt/des/md5 등 취약 옵션이 발견되지 않음</t>
        </is>
      </c>
    </row>
    <row r="19">
      <c r="B19" s="9" t="inlineStr">
        <is>
          <t>파일 및 디렉토리 관리</t>
        </is>
      </c>
      <c r="C19" s="9" t="inlineStr">
        <is>
          <t>U-14</t>
        </is>
      </c>
      <c r="D19" s="2" t="inlineStr">
        <is>
          <t>root 홈, 패스 디렉터리 권한 및 패스 설정</t>
        </is>
      </c>
      <c r="E19" s="2" t="inlineStr">
        <is>
          <t>양호 : PATH 환경변수에 “.” 이 맨 앞이나 중간에 포함되지 않은 경우
취약 : PATH 환경변수에 “.” 이 맨 앞이나 중간에 포함된 경우</t>
        </is>
      </c>
      <c r="F19" s="14" t="inlineStr">
        <is>
          <t>양호</t>
        </is>
      </c>
      <c r="G19" s="2" t="inlineStr">
        <is>
          <t>- 판단기준은 PATH 환경변수에 "."이 맨 앞이나 중간에 포함되면 취약, 포함되지 않으면 양호로 판정함
- 점검내용의 root 로그인 PATH = /root/.local/bin:/root/bin:/usr/local/sbin:/usr/local/bin:/usr/sbin:/usr/bin 로, 각 경로가 모두 절대경로(/로 시작)이며 "." 또는 "::"(빈 항목=현재 디렉터리) 가 존재하지 않음
- PATH 맨 앞 항목이 /root/.local/bin 으로 ".local"은 디렉터리 이름의 일부일 뿐 현재 디렉터리를 의미하는 단독 "."이 아니므로 취약 조건에 해당하지 않음
- 따라서 "."이 맨 앞·중간에 포함되지 않아 양호로 판정함</t>
        </is>
      </c>
      <c r="H19" s="14" t="inlineStr">
        <is>
          <t>양호</t>
        </is>
      </c>
      <c r="I19" s="2" t="inlineStr">
        <is>
          <t>- 판단기준의 '양호' 조건은 PATH 환경변수에 "." 이 맨 앞이나 중간에 포함되지 않은 경우임
- 점검내용의 root 로그인 PATH = /root/.local/bin:/root/bin:/usr/local/sbin:/usr/local/bin:/usr/sbin:/usr/bin 로, 각 디렉터리 경로에 단독 "." 항목이 맨 앞·중간 어디에도 존재하지 않음
- 또한 맨 뒤에도 "." 항목이 없어 현재 디렉터리가 PATH 검색 경로에 포함되지 않음 → 양호로 판정</t>
        </is>
      </c>
    </row>
    <row r="20">
      <c r="B20" s="15" t="n"/>
      <c r="C20" s="9" t="inlineStr">
        <is>
          <t>U-15</t>
        </is>
      </c>
      <c r="D20" s="2" t="inlineStr">
        <is>
          <t>파일 및 디렉터리 소유자 설정</t>
        </is>
      </c>
      <c r="E20" s="2" t="inlineStr">
        <is>
          <t>양호 : 소유자가 존재하지 않는 파일 및 디렉터리가 존재하지 않는 경우
취약 : 소유자가 존재하지 않는 파일 및 디렉터리가 존재하는 경우</t>
        </is>
      </c>
      <c r="F20" s="14" t="inlineStr">
        <is>
          <t>양호</t>
        </is>
      </c>
      <c r="G20" s="2" t="inlineStr">
        <is>
          <t>- 판단기준(양호): 소유자가 존재하지 않는 파일 및 디렉터리가 존재하지 않는 경우 → 점검내용 '소유자/그룹 없는 파일(표본): 없음'과 정확히 대응됨
- 점검대상 / (xdev) 전수 표본에서 owner/group 없는(UID/GID 미해석) 파일이 한 건도 식별되지 않음
- 화이트리스트 차집합 관점에서도 별도로 의심·이상치로 분류할 비정상 항목이 존재하지 않으므로 '양호'로 판정</t>
        </is>
      </c>
      <c r="H20" s="14" t="inlineStr">
        <is>
          <t>양호</t>
        </is>
      </c>
      <c r="I20" s="2" t="inlineStr">
        <is>
          <t>- 판단기준의 '양호' 조건은 소유자가 존재하지 않는 파일 및 디렉터리가 존재하지 않는 경우임
- 점검내용(로우데이터)에서 '소유자/그룹 없는 파일(표본): 없음'으로 확인되어, 소유자/그룹이 없는 파일·디렉터리가 탐지되지 않음
- 의심·이상치 항목 없이 nouser/nogroup 대상이 0건이므로 양호로 판정</t>
        </is>
      </c>
    </row>
    <row r="21">
      <c r="B21" s="15" t="n"/>
      <c r="C21" s="9" t="inlineStr">
        <is>
          <t>U-16</t>
        </is>
      </c>
      <c r="D21" s="2" t="inlineStr">
        <is>
          <t>/etc/passwd 파일 소유자 및 권한 설정</t>
        </is>
      </c>
      <c r="E21" s="2" t="inlineStr">
        <is>
          <t>양호 : /etc/passwd 파일의 소유자가 root이고, 권한이 644 이하인 경우
취약 : /etc/passwd 파일의 소유자가 root가 아니거나, 권한이 644 이하가 아닌 경우</t>
        </is>
      </c>
      <c r="F21" s="14" t="inlineStr">
        <is>
          <t>양호</t>
        </is>
      </c>
      <c r="G21" s="2" t="inlineStr">
        <is>
          <t>- 판단기준의 소유자 조건(root) ↔ 점검내용 라인 'root:root'의 소유자가 root로 일치함
- 판단기준의 권한 조건(644 이하) ↔ 점검내용 라인 '-rw-r--r-- (644)'으로 권한이 644이며 기준을 충족함(owner rw-, group r--, other r-- 모두 644 칸별 부분집합 만족)
- 점검파일 /etc/passwd가 root 소유 및 644 권한으로 비정상(소유자 불일치·other 쓰기 등) 이상치가 발견되지 않음</t>
        </is>
      </c>
      <c r="H21" s="14" t="inlineStr">
        <is>
          <t>양호</t>
        </is>
      </c>
      <c r="I21" s="2" t="inlineStr">
        <is>
          <t>- 판단기준의 '소유자가 root' 조건 ↔ 점검내용 라인 'root:root'으로 소유자/그룹 모두 root임을 확인함
- 판단기준의 '권한 644 이하' 조건 ↔ 점검내용 라인 '-rw-r--r-- (644)'로 권한이 정확히 644(owner rw / group r / other r)이며 644 이하 충족
- other 칸에 쓰기·실행 권한이 없어 권한 초과가 없으며, 비표준 소유자나 과도 권한 등 이상치도 발견되지 않음</t>
        </is>
      </c>
    </row>
    <row r="22">
      <c r="B22" s="15" t="n"/>
      <c r="C22" s="9" t="inlineStr">
        <is>
          <t>U-17</t>
        </is>
      </c>
      <c r="D22" s="2" t="inlineStr">
        <is>
          <t>시스템 시작 스크립트 권한 설정</t>
        </is>
      </c>
      <c r="E22" s="2" t="inlineStr">
        <is>
          <t>양호 : 시스템 시작 스크립트 파일의 소유자가 root이고, 일반 사용자의 쓰기 권한이 제거된 경우
취약 : 시스템 시작 스크립트 파일의 소유자가 root가 아니거나, 일반 사용자의 쓰기 권한이 부여된 경우</t>
        </is>
      </c>
      <c r="F22" s="14" t="inlineStr">
        <is>
          <t>양호</t>
        </is>
      </c>
      <c r="G22" s="2" t="inlineStr">
        <is>
          <t>- 판단기준(소유자 root)에 대해 점검내용의 모든 라인이 root:root 소유로 확인됨 (/etc/rc.d/init.d/README, functions, /etc/init.d/README, functions)
- 판단기준(일반 사용자 쓰기 권한 제거)에 대해 모든 파일이 644(rw-r--r--)로 group/other 칸에 쓰기 권한(w)이 없음 — 일반 사용자 쓰기 불가
- 소유자 비-root 또는 일반 사용자 쓰기 부여에 해당하는 이상치 라인이 점검내용에 존재하지 않음</t>
        </is>
      </c>
      <c r="H22" s="14" t="inlineStr">
        <is>
          <t>양호</t>
        </is>
      </c>
      <c r="I22" s="2" t="inlineStr">
        <is>
          <t>- 판단기준의 '소유자 root' 조건 ↔ 점검내용의 모든 라인(/etc/rc.d/init.d/README, functions, /etc/init.d/README, functions)이 root:root 소유로 일치함
- 판단기준의 '일반 사용자 쓰기 권한 제거' 조건 ↔ 모든 파일 권한이 644(rw-r--r--)로 group/other 칸에 쓰기(w) 비트가 없어 일반 사용자 쓰기 불가
- 점검내용 4개 라인 모두 소유자 root, other/group 쓰기 미부여로 비표준·이상치 항목 없음</t>
        </is>
      </c>
    </row>
    <row r="23">
      <c r="B23" s="15" t="n"/>
      <c r="C23" s="9" t="inlineStr">
        <is>
          <t>U-18</t>
        </is>
      </c>
      <c r="D23" s="2" t="inlineStr">
        <is>
          <t>/etc/shadow 파일 소유자 및 권한 설정</t>
        </is>
      </c>
      <c r="E23" s="2" t="inlineStr">
        <is>
          <t>양호 : /etc/shadow 파일의 소유자가 root이고, 권한이 400 이하인 경우
취약 : /etc/shadow 파일의 소유자가 root가 아니거나, 권한이 400 이하가 아닌 경우</t>
        </is>
      </c>
      <c r="F23" s="14" t="inlineStr">
        <is>
          <t>양호</t>
        </is>
      </c>
      <c r="G23" s="2" t="inlineStr">
        <is>
          <t>- 판단기준(소유자 root) ↔ 점검내용의 'root:root'로 /etc/shadow 소유자가 root임을 확인
- 판단기준(권한 400 이하) ↔ 점검내용의 '----------' (000) 으로 owner/group/other 모든 칸이 권한 없음 → 400(r--------)의 부분집합으로 400 이하 조건 충족
- 소유자 root, 권한 000 으로 두 조건을 모두 만족하므로 양호로 판정</t>
        </is>
      </c>
      <c r="H23" s="14" t="inlineStr">
        <is>
          <t>양호</t>
        </is>
      </c>
      <c r="I23" s="2" t="inlineStr">
        <is>
          <t>- 판단기준(양호: 소유자 root) ↔ 점검내용 라인 'root:root'에서 /etc/shadow 파일 소유자가 root로 확인됨
- 판단기준(양호: 권한 400 이하) ↔ 점검내용 라인 '----------'은 8진수 000(rwx 모든 칸 권한 없음)으로, owner/group/other 모든 칸이 400의 부분집합이며 400 이하 조건을 충족함
- 소유자 root, 권한 000으로 두 조건을 모두 만족하므로 양호로 판정</t>
        </is>
      </c>
    </row>
    <row r="24">
      <c r="B24" s="15" t="n"/>
      <c r="C24" s="9" t="inlineStr">
        <is>
          <t>U-19</t>
        </is>
      </c>
      <c r="D24" s="2" t="inlineStr">
        <is>
          <t>/etc/hosts 파일 소유자 및 권한 설정</t>
        </is>
      </c>
      <c r="E24" s="2" t="inlineStr">
        <is>
          <t>양호 : /etc/hosts 파일의 소유자가 root이고, 권한이 644 이하인 경우
취약 : /etc/hosts 파일의 소유자가 root가 아니거나, 권한이 644 이하가 아닌 경우</t>
        </is>
      </c>
      <c r="F24" s="14" t="inlineStr">
        <is>
          <t>양호</t>
        </is>
      </c>
      <c r="G24" s="2" t="inlineStr">
        <is>
          <t>- 판단기준의 '소유자가 root' 조건 ↔ 점검내용 라인 'root:root' 의 owner가 root로 일치함
- 판단기준의 '권한이 644 이하' 조건 ↔ 점검내용 라인 '-rw-r--r-- (644)' 가 정확히 644로 owner(rw-)/group(r--)/other(r--) 모두 644 칸별 부분집합 조건을 만족함
- /etc/hosts 파일이 root 소유이며 권한이 644로 설정되어 있어 비인가 사용자의 수정 위험이 없음 → 양호</t>
        </is>
      </c>
      <c r="H24" s="14" t="inlineStr">
        <is>
          <t>양호</t>
        </is>
      </c>
      <c r="I24" s="2" t="inlineStr">
        <is>
          <t>- 판단기준의 소유자 조건(root)과 점검내용 라인 '-rw-r--r-- (644) root:root /etc/hosts'의 소유자 root:root가 일치함
- 판단기준의 권한 조건(644 이하)과 점검내용의 권한값 644가 일치함 — owner(rw-), group(r--), other(r--) 모두 644 칸별 부분집합 범위 내
- 소유자가 root가 아니거나 권한이 644를 초과하는 취약 조건에 해당하는 이상치 없음</t>
        </is>
      </c>
    </row>
    <row r="25">
      <c r="B25" s="15" t="n"/>
      <c r="C25" s="9" t="inlineStr">
        <is>
          <t>U-20</t>
        </is>
      </c>
      <c r="D25" s="2" t="inlineStr">
        <is>
          <t>/etc/(x)inetd.conf 파일 소유자 및 권한 설정</t>
        </is>
      </c>
      <c r="E25" s="2" t="inlineStr">
        <is>
          <t>양호 : /etc/(x)inetd.conf 파일의 소유자가 root이고, 권한이 600 이하인 경우
취약 : /etc/(x)inetd.conf 파일의 소유자가 root가 아니거나, 권한이 600 이하가 아닌 경우</t>
        </is>
      </c>
      <c r="F25" s="16" t="inlineStr">
        <is>
          <t>N/A</t>
        </is>
      </c>
      <c r="G25" s="2" t="inlineStr">
        <is>
          <t>- 판단기준은 /etc/(x)inetd.conf 파일의 소유자(root)와 권한(600 이하) 여부를 점검하는 항목임
- 점검내용 로우데이터에 '(inetd/xinetd 미설치)'로 명시되어 있어 /etc/inetd.conf, /etc/xinetd.conf 파일 자체가 존재하지 않음 → 점검 대상 파일 부재
- 현재 시스템은 inetd/xinetd 대신 systemd .socket 유닛(acpid.socket, dbus.socket, rpcbind.socket 등)으로 서비스 활성화를 관리하고 있어 inetd 계열 설정파일이 점검 대상이 될 수 없음
- 점검 대상 파일이 존재하지 않아 소유자·권한을 판정할 근거 자체가 없으므로 '점검 대상 아님'에 해당하여 N/A로 판정</t>
        </is>
      </c>
      <c r="H25" s="16" t="inlineStr">
        <is>
          <t>N/A</t>
        </is>
      </c>
      <c r="I25" s="2" t="inlineStr">
        <is>
          <t>- 판단기준은 /etc/(x)inetd.conf 파일의 소유자가 root이고 권한이 600 이하일 것을 요구함
- 점검내용 첫 줄 "(inetd/xinetd 미설치)"에 따라 inetd·xinetd 데몬이 설치되어 있지 않으며, 따라서 /etc/inetd.conf 및 /etc/xinetd.conf 설정 파일 자체가 존재하지 않음
- 취약 조건인 '소유자가 root가 아님' 또는 '권한이 600 초과'에 해당하는 대상 파일이 존재하지 않으므로 부적절한 권한으로 노출된 inetd 설정 파일이 없음
- 나열된 systemd 활성 socket 유닛(acpid.socket, dbus.socket, rpcbind.socket, sssd-kcm.socket, systemd-*.socket 등)은 모두 표준 systemd 기본 소켓으로, inetd.conf 설정 파일이 아니며 본 항목의 권한 점검 대상이 아님 — 비표준 의심 socket 유닛은 발견되지 않음
- 취약을 유발할 inetd/xinetd 설정 파일이 부재하므로 보수적 관점에서도 위험 요소가 확인되지 않아 양호로 판정</t>
        </is>
      </c>
    </row>
    <row r="26">
      <c r="B26" s="15" t="n"/>
      <c r="C26" s="9" t="inlineStr">
        <is>
          <t>U-21</t>
        </is>
      </c>
      <c r="D26" s="2" t="inlineStr">
        <is>
          <t>/etc/(r)syslog.conf 파일 소유자 및 권한 설정</t>
        </is>
      </c>
      <c r="E26" s="2" t="inlineStr">
        <is>
          <t>양호 : /etc/(r)syslog.conf 파일의 소유자가 root(또는 bin, sys)이고, 권한이 640 이하인 경우
취약 : /etc/(r)syslog.conf 파일의 소유자가 root(또는 bin, sys)가 아니거나, 권한이 640 이하가 아닌 경우</t>
        </is>
      </c>
      <c r="F26" s="14" t="inlineStr">
        <is>
          <t>양호</t>
        </is>
      </c>
      <c r="G26" s="2" t="inlineStr">
        <is>
          <t>- 판단기준(양호): 소유자가 root(또는 bin, sys)이고 권한이 640 이하 → 점검내용의 `-rw-r----- (640) root:root /etc/rsyslog.conf` 와 대응
- 소유자 조건: 파일 소유자가 `root`(그룹 root)로 root에 해당하여 소유자 요건 충족
- 권한 조건: 권한이 640(rw-r-----)으로 '640 이하' 기준에 부합 — owner rw-, group r--, other ---로 other 권한 초과 없음
- 이상치 점검: 비인가자(other) 쓰기/읽기 권한 없음, 비표준 소유자 없음 → 의심 항목 없음</t>
        </is>
      </c>
      <c r="H26" s="14" t="inlineStr">
        <is>
          <t>양호</t>
        </is>
      </c>
      <c r="I26" s="2" t="inlineStr">
        <is>
          <t>- 판단기준(소유자 root/bin/sys) ↔ 점검내용 라인 'root:root'의 소유자가 root이므로 소유자 조건 충족
- 판단기준(권한 640 이하) ↔ 점검내용 라인 '-rw-r----- (640)'으로 권한이 정확히 640이며, owner(rw-)·group(r--)·other(---) 모두 640의 부분집합으로 초과 권한 없음
- 소유자와 권한 두 조건을 모두 만족하므로 양호로 판정</t>
        </is>
      </c>
    </row>
    <row r="27">
      <c r="B27" s="15" t="n"/>
      <c r="C27" s="9" t="inlineStr">
        <is>
          <t>U-22</t>
        </is>
      </c>
      <c r="D27" s="2" t="inlineStr">
        <is>
          <t>/etc/services 파일 소유자 및 권한 설정</t>
        </is>
      </c>
      <c r="E27" s="2" t="inlineStr">
        <is>
          <t>양호 : /etc/services 파일의 소유자가 root(또는 bin, sys)이고, 권한이 644 이하인 경우
취약 : /etc/services 파일의 소유자가 root(또는 bin, sys)가 아니거나, 권한이 644 이하가 아닌 경우</t>
        </is>
      </c>
      <c r="F27" s="14" t="inlineStr">
        <is>
          <t>양호</t>
        </is>
      </c>
      <c r="G27" s="2" t="inlineStr">
        <is>
          <t>- 판단기준의 소유자 조건(root 또는 bin, sys) ↔ 점검내용 라인 'root:root'의 소유자가 root 로 일치함
- 판단기준의 권한 조건(644 이하) ↔ 점검내용 라인 '-rw-r--r-- (644)' 의 권한이 644 로 기준을 충족함(owner rw-, group r--, other r-- 모두 644 범위 내)
- 소유자·권한 두 조건을 모두 만족하므로 양호로 판정함</t>
        </is>
      </c>
      <c r="H27" s="14" t="inlineStr">
        <is>
          <t>양호</t>
        </is>
      </c>
      <c r="I27" s="2" t="inlineStr">
        <is>
          <t>- 판단기준의 소유자 조건(root 또는 bin, sys) ↔ 점검내용 라인 'root:root' 의 소유자가 root 로 충족됨
- 판단기준의 권한 조건(644 이하) ↔ 점검내용 라인 '-rw-r--r-- (644)' 의 권한이 644 로, owner/group/other 칸별로 644 를 초과하지 않아 충족됨
- 소유자·권한 두 조건을 모두 만족하므로 양호로 판정함</t>
        </is>
      </c>
    </row>
    <row r="28">
      <c r="B28" s="15" t="n"/>
      <c r="C28" s="9" t="inlineStr">
        <is>
          <t>U-23</t>
        </is>
      </c>
      <c r="D28" s="2" t="inlineStr">
        <is>
          <t>SUID,SGID,Sticky bit 설정 파일 점검</t>
        </is>
      </c>
      <c r="E28" s="2" t="inlineStr">
        <is>
          <t>양호 : 주요 실행 파일의 권한에 SUID와 SGID에 대한 설정이 부여되어 있지 않은 경우
취약 : 주요 실행 파일의 권한에 SUID와 SGID에 대한 설정이 부여된 경우</t>
        </is>
      </c>
      <c r="F28" s="16" t="inlineStr">
        <is>
          <t>N/A</t>
        </is>
      </c>
      <c r="G28" s="2" t="inlineStr">
        <is>
          <t>- 판단기준의 '주요 실행 파일에 SUID/SGID 불필요 설정이 없을 것'에 대해, 점검내용의 SUID 13개·SGID 4개는 모두 root 소유의 표준 시스템 바이너리(/usr/bin/sudo, su, passwd, mount, umount, chage, gpasswd, newgrp, staprun, /usr/sbin/grub2-set-bootflag, pam_timestamp_check, unix_chkpwd, mount.nfs 등)로, OS 설치 시 기본 부여되는 정상 SUID 집합에 해당함
- SGID 목록(/usr/bin/write[tty], /usr/bin/screen[screen], /usr/libexec/utempter/utempter[utmp], /usr/libexec/openssh/ssh-keysign[ssh_keys]) 역시 터미널·세션·키 서명용 표준 바이너리로 정상 그룹 SGID에 해당함
- 화이트리스트 차집합 검토 결과, 사용자 홈 디렉터리·임시 경로(/tmp, /home 등)나 비표준 위치에 존재하는 SUID/SGID 실행 파일, 일반 사용자 소유의 의심 파일 등 이상치는 점검내용 라인에서 발견되지 않음
- 따라서 불필요하게 SUID/SGID가 부여된 주요 실행 파일이 없어 양호로 판정</t>
        </is>
      </c>
      <c r="H28" s="16" t="inlineStr">
        <is>
          <t>N/A</t>
        </is>
      </c>
      <c r="I28" s="2" t="inlineStr">
        <is>
          <t>- 판단기준상 '주요 실행 파일에 SUID/SGID 불필요 설정이 부여된 경우' 취약이나, 점검내용의 SUID 13개·SGID 4개 모두 OS 기본 제공 표준 바이너리로 화이트리스트에 해당함
- SUID 목록(/usr/bin/sudo, chage, gpasswd, newgrp, su, mount, umount, passwd, /usr/bin/staprun, /usr/sbin/grub2-set-bootflag, pam_timestamp_check, unix_chkpwd, mount.nfs)은 Amazon Linux에서 정상적으로 SUID가 필요한 시스템 표준 파일로, 비표준·비인가 실행 파일이나 사용자 홈/임시 경로의 SUID 파일은 발견되지 않음
- SGID 목록(/usr/bin/write[root:tty], /usr/bin/screen[root:screen], /usr/libexec/utempter/utempter[root:utmp], /usr/libexec/openssh/ssh-keysign[root:ssh_keys])도 모두 OS 기본 SGID 표준 파일로, 화이트리스트 차집합(의심 이상치)에 해당하는 항목 없음
- 소유자가 root이며 비정상 경로(/tmp, /home, /var/tmp 등)나 임의 실행 숨김파일에 부여된 SUID/SGID가 없으므로 양호로 판정</t>
        </is>
      </c>
    </row>
    <row r="29">
      <c r="B29" s="15" t="n"/>
      <c r="C29" s="9" t="inlineStr">
        <is>
          <t>U-24</t>
        </is>
      </c>
      <c r="D29" s="2" t="inlineStr">
        <is>
          <t>사용자/시스템 환경변수 파일 소유자 및 권한 설정</t>
        </is>
      </c>
      <c r="E29" s="2" t="inlineStr">
        <is>
          <t>양호 : 홈 디렉터리 환경변수 파일 소유자가 root 또는 해당 계정으로 지정되어 있고, 홈 디렉터리 환경변수 파일에 root 계정과 소유자만 쓰기 권한이 부여된 경우
취약 : 홈 디렉터리 환경변수 파일 소유자가 root 또는 해당 계정으로 지정되지 않거나, 홈 디렉터리 환경변수 파일에 root 계정과 소유자 외에 쓰기 권한이 부여된 경우</t>
        </is>
      </c>
      <c r="F29" s="14" t="inlineStr">
        <is>
          <t>양호</t>
        </is>
      </c>
      <c r="G29" s="2" t="inlineStr">
        <is>
          <t>- 소유자 기준: /root/.bashrc·.bash_profile·.cshrc 는 root:root, /home/ec2-user/.bashrc·.bash_profile 는 ec2-user:ec2-user 로, 모든 환경변수 파일의 소유자가 root 또는 해당 홈 계정으로 지정되어 있어 '소유자 지정' 조건을 충족함
- 쓰기 권한 기준: 모든 파일이 644(-rw-r--r--)로 owner 칸만 쓰기(w), group·other 칸은 읽기만(r--) 부여되어 root와 소유자 외 쓰기 권한이 없음 → '소유자 외 쓰기 금지' 조건 충족
- 이상치 점검: 나열된 5개 파일 모두 표준 패턴(소유자=계정, 권한 644)에 매칭되며, 비표준 소유자나 group/other 쓰기(예: 646/664/666/757 등)를 가진 파일이 발견되지 않음
- 종합: 소유자 지정 및 쓰기 권한 제한 두 조건을 모두 만족하므로 양호로 판정</t>
        </is>
      </c>
      <c r="H29" s="14" t="inlineStr">
        <is>
          <t>양호</t>
        </is>
      </c>
      <c r="I29" s="2" t="inlineStr">
        <is>
          <t>- 판단기준(소유자 조건) ↔ 점검내용: /root/.bashrc·.bash_profile·.cshrc 는 모두 root:root 소유로, root 홈 환경변수 파일 소유자가 root로 지정됨
- 판단기준(소유자 조건) ↔ 점검내용: /home/ec2-user/.bashrc·.bash_profile 는 모두 ec2-user:ec2-user 소유로, 해당 계정 본인으로 소유자가 지정됨
- 판단기준(쓰기권한 조건) ↔ 점검내용: 모든 파일 권한이 644(-rw-r--r--)로 owner(소유자)만 쓰기 권한을 가지며 group/other 칸에는 쓰기 권한(w)이 없음 — root와 소유자 외 쓰기 권한 없음
- 이상치 점검: 나열된 5개 파일 모두 소유자·권한이 표준 패턴(소유자 일치, 644)에 부합하며, 비표준 소유자(타 계정)나 group/other 쓰기 허용(예: 646/664/666/662) 같은 의심 항목 없음</t>
        </is>
      </c>
    </row>
    <row r="30">
      <c r="B30" s="15" t="n"/>
      <c r="C30" s="9" t="inlineStr">
        <is>
          <t>U-25</t>
        </is>
      </c>
      <c r="D30" s="2" t="inlineStr">
        <is>
          <t>world writable 파일 점검</t>
        </is>
      </c>
      <c r="E30" s="2" t="inlineStr">
        <is>
          <t>양호 : world writable 파일이 존재하지 않거나, 존재 시 설정 이유를 인지하고 있는 경우
취약 : world writable 파일이 존재하나 설정 이유를 인지하지 못하고 있는 경우</t>
        </is>
      </c>
      <c r="F30" s="14" t="inlineStr">
        <is>
          <t>양호</t>
        </is>
      </c>
      <c r="G30" s="2" t="inlineStr">
        <is>
          <t>- 판단기준의 '양호: world writable 파일이 존재하지 않는 경우'에 해당함
- 점검내용 원시 라인 'find / -type f -perm -0002 (의사FS 제외) — 0개', '(없음)'으로 world writable(other 쓰기, -0002) 파일이 전혀 검출되지 않음
- proc·sys·dev·run 등 의사파일시스템을 제외한 전체 경로 탐색 결과 의심·이상치 항목이 0건이므로 차집합으로 추가 판별할 대상도 없음</t>
        </is>
      </c>
      <c r="H30" s="14" t="inlineStr">
        <is>
          <t>양호</t>
        </is>
      </c>
      <c r="I30" s="2" t="inlineStr">
        <is>
          <t>- 판단기준의 '양호: world writable 파일이 존재하지 않는 경우'에 해당한다.
- 점검내용(로우데이터) 'find / -type f -perm -0002 (world-writable, 의사FS 제외) — 0개' 및 '(없음)' 라인을 근거로, 점검 대상 파일시스템 전체에서 other 쓰기 권한(-0002)이 설정된 일반 파일이 단 하나도 검출되지 않았다.
- proc·sys·dev·run 등 의사 파일시스템을 제외한 정상 점검 범위에서 0개로 확인되어, 인지하지 못한 world writable 파일이 존재할 여지가 없으므로 양호로 판정한다.</t>
        </is>
      </c>
    </row>
    <row r="31">
      <c r="B31" s="15" t="n"/>
      <c r="C31" s="9" t="inlineStr">
        <is>
          <t>U-26</t>
        </is>
      </c>
      <c r="D31" s="2" t="inlineStr">
        <is>
          <t>/dev에 존재하지 않는 device 파일 점검</t>
        </is>
      </c>
      <c r="E31" s="2" t="inlineStr">
        <is>
          <t>양호 : /dev 디렉터리에 대한 파일 점검 후 존재하지 않는 device 파일을 제거한 경우
취약 : /dev 디렉터리에 대한 파일 미점검 또는 존재하지 않는 device 파일을 방치한 경우</t>
        </is>
      </c>
      <c r="F31" s="14" t="inlineStr">
        <is>
          <t>양호</t>
        </is>
      </c>
      <c r="G31" s="2" t="inlineStr">
        <is>
          <t>- 판단기준의 '양호' 조건은 /dev 디렉터리 점검 후 존재하지 않는(실제 device가 아닌) 일반 파일을 제거/방치하지 않은 상태임
- 점검내용 '/dev 내 일반 파일(device 아님): 없음' 라인은 /dev 내에 device 파일이 아닌 비정상 일반 파일이 존재하지 않음을 의미함
- 따라서 존재하지 않는 device(비정상 일반 파일)가 방치되어 있지 않으므로 양호로 판정함
- 화이트리스트 차집합 관점에서도 표준 device 외 의심 일반 파일이 0건으로 이상치 없음</t>
        </is>
      </c>
      <c r="H31" s="14" t="inlineStr">
        <is>
          <t>양호</t>
        </is>
      </c>
      <c r="I31" s="2" t="inlineStr">
        <is>
          <t>- 판단기준의 '양호(존재하지 않는 device 파일이 없는 경우)' 조건 ↔ 점검내용 '/dev 내 일반 파일(device 아님): 없음' 라인에 정확히 대응함
- /dev 디렉터리 내에 device 파일이 아닌 일반 파일이 존재하지 않으므로, 방치된 비정상 파일(이상치)이 없음
- 화이트리스트 차집합 관점에서도 정상 device 파일 외에 의심스러운 비표준 일반 파일이 식별되지 않아 취약 요소 없음</t>
        </is>
      </c>
    </row>
    <row r="32">
      <c r="B32" s="15" t="n"/>
      <c r="C32" s="9" t="inlineStr">
        <is>
          <t>U-27</t>
        </is>
      </c>
      <c r="D32" s="2" t="inlineStr">
        <is>
          <t>$HOME/.rhosts, hosts.equiv 사용 금지</t>
        </is>
      </c>
      <c r="E32" s="2" t="inlineStr">
        <is>
          <t>양호 : rlogin, rsh, rexec 서비스를 사용하지 않거나, 사용 시 아래와 같은 설정이 적용된 경우
취약 : rlogin, rsh, rexec 서비스를 사용하며 아래와 같은 설정이 적용되지 않은 경우</t>
        </is>
      </c>
      <c r="F32" s="14" t="inlineStr">
        <is>
          <t>양호</t>
        </is>
      </c>
      <c r="G32" s="2" t="inlineStr">
        <is>
          <t>- 판단기준의 '양호: rlogin, rsh, rexec 서비스를 사용하지 않거나' 조건에 해당함
- 점검내용 라인 '/etc/hosts.equiv 및 모든 사용자 $HOME/.rhosts 파일 없음'에 따라 r 계열 인증 설정 파일이 존재하지 않음
- 동일 라인의 'r 계열 미사용' 명시로 rlogin/rsh/rexec 서비스를 사용하지 않는 상태가 확인됨
- .rhosts 및 hosts.equiv 파일 자체가 없어 비표준/이상치 항목도 존재하지 않음</t>
        </is>
      </c>
      <c r="H32" s="14" t="inlineStr">
        <is>
          <t>양호</t>
        </is>
      </c>
      <c r="I32" s="2" t="inlineStr">
        <is>
          <t>- 판단기준(양호): rlogin/rsh/rexec 서비스를 사용하지 않거나, 사용 시 설정이 적용된 경우 → 점검내용에서 'r 계열 미사용'으로 명시되어 서비스 자체를 사용하지 않음
- 점검파일 /etc/hosts.equiv 및 모든 사용자 $HOME/.rhosts 파일이 존재하지 않음 → 비인가 호스트 신뢰 설정이 없으므로 위험 요소 부재
- r 계열 서비스 미사용 + 신뢰 설정 파일 부재로 취약 조건(서비스 사용하며 설정 미적용)에 해당하지 않아 '양호'로 판정</t>
        </is>
      </c>
    </row>
    <row r="33">
      <c r="B33" s="15" t="n"/>
      <c r="C33" s="9" t="inlineStr">
        <is>
          <t>U-28</t>
        </is>
      </c>
      <c r="D33" s="2" t="inlineStr">
        <is>
          <t>접속 IP 및 포트 제한</t>
        </is>
      </c>
      <c r="E33" s="2" t="inlineStr">
        <is>
          <t>양호 : 접속을 허용할 특정 호스트에 대한 IP주소 및 포트 제한을 설정한 경우
취약 : 접속을 허용할 특정 호스트에 대한 IP주소 및 포트 제한을 설정하지 않은 경우</t>
        </is>
      </c>
      <c r="F33" s="17" t="inlineStr">
        <is>
          <t>취약</t>
        </is>
      </c>
      <c r="G33" s="2" t="inlineStr">
        <is>
          <t>- 판단기준(양호)은 접속을 허용할 특정 호스트에 대한 IP주소 및 포트 제한 설정을 요구하나, 점검내용상 'hosts.allow 규칙 0개 / hosts.deny 규칙 0개'로 TCP Wrapper 기반 접근 제어가 전혀 설정되어 있지 않음
- 기본차단 정책(ALL:ALL)도 hosts.deny에 0개로, 미허용 호스트를 차단하는 최소한의 정책조차 부재함
- 점검내용상 '방화벽: 비활성'으로 OS 레벨 방화벽(iptables/firewalld 등)을 통한 IP·포트 제한도 적용되어 있지 않음
- AWS 보안그룹은 별도라고 명시되어 본 점검파일(hosts.allow/deny, firewall) 기준의 접근통제 증적으로 인정할 수 없어, 호스트 자체의 IP·포트 제한 부재로 판단되므로 보수적으로 '취약' 판정</t>
        </is>
      </c>
      <c r="H33" s="17" t="inlineStr">
        <is>
          <t>취약</t>
        </is>
      </c>
      <c r="I33" s="2" t="inlineStr">
        <is>
          <t>- 판단기준의 양호 조건은 접속 허용 호스트에 대한 IP주소 및 포트 제한이 설정되어 있어야 함
- 점검내용상 hosts.allow 규칙 0개, hosts.deny 규칙 0개로 TCP Wrapper 기반 접근통제가 전혀 설정되어 있지 않음
- 기본차단 정책인 hosts.deny의 'ALL:ALL' 항목도 0개로, 미허용 호스트를 막는 최소한의 차단 설정조차 없음
- 방화벽(iptables 등)도 비활성 상태로 호스트 자체 레벨의 IP·포트 제한이 부재함(AWS 보안그룹은 별도 외부 통제로 호스트 점검 항목의 양호 근거로 대체 불가)
- 따라서 IP주소 및 포트 제한이 설정되지 않은 상태로 취약 조건에 해당함</t>
        </is>
      </c>
    </row>
    <row r="34">
      <c r="B34" s="15" t="n"/>
      <c r="C34" s="9" t="inlineStr">
        <is>
          <t>U-29</t>
        </is>
      </c>
      <c r="D34" s="2" t="inlineStr">
        <is>
          <t>hosts.lpd 파일 소유자 및 권한 설정</t>
        </is>
      </c>
      <c r="E34" s="2" t="inlineStr">
        <is>
          <t>양호 : /etc/hosts.lpd 파일이 존재하지 않거나, 불가피하게 사용 시 /etc/hosts.lpd 파일의 소유자가 root이고, 권한이 600 이하인 경우
취약 : /etc/hosts.lpd 파일이 존재하며, 파일의 소유자가 root가 아니거나, 권한이 600 이하가 아닌 경우</t>
        </is>
      </c>
      <c r="F34" s="14" t="inlineStr">
        <is>
          <t>양호</t>
        </is>
      </c>
      <c r="G34" s="2" t="inlineStr">
        <is>
          <t>- 판단기준의 양호 조건은 '/etc/hosts.lpd 파일이 존재하지 않거나, 불가피하게 사용 시 소유자가 root이고 권한이 600 이하'인 경우임
- 점검내용(로우데이터)에 'hosts.lpd 파일 없음'으로 명시되어 있어 /etc/hosts.lpd 파일이 존재하지 않음
- 파일이 존재하지 않으므로 양호 조건을 충족하며, 권한/소유자 점검 대상이 없어 이상치도 존재하지 않음</t>
        </is>
      </c>
      <c r="H34" s="14" t="inlineStr">
        <is>
          <t>양호</t>
        </is>
      </c>
      <c r="I34" s="2" t="inlineStr">
        <is>
          <t>- 판단기준의 양호 조건은 '/etc/hosts.lpd 파일이 존재하지 않거나, 불가피하게 사용 시 소유자가 root이고 권한이 600 이하인 경우'임
- 점검내용(로우데이터)에 'hosts.lpd 파일 없음'으로 명시되어 파일이 존재하지 않음을 확인함
- 파일 자체가 존재하지 않으므로 소유자·권한 검토 대상이 아니며, 양호 조건(파일 미존재)에 정확히 부합함</t>
        </is>
      </c>
    </row>
    <row r="35">
      <c r="B35" s="15" t="n"/>
      <c r="C35" s="9" t="inlineStr">
        <is>
          <t>U-30</t>
        </is>
      </c>
      <c r="D35" s="2" t="inlineStr">
        <is>
          <t>UMASK 설정 관리</t>
        </is>
      </c>
      <c r="E35" s="2" t="inlineStr">
        <is>
          <t>양호 : UMASK 값이 022 이상으로 설정된 경우
취약 : UMASK 값이 022 미만으로 설정된 경우</t>
        </is>
      </c>
      <c r="F35" s="14" t="inlineStr">
        <is>
          <t>양호</t>
        </is>
      </c>
      <c r="G35" s="2" t="inlineStr">
        <is>
          <t>- 판단기준의 양호 조건(UMASK 022 이상)에 대해, 시스템 전역 설정인 `/etc/profile:umask 022` 와 `/etc/login.defs:UMASK 022` 가 모두 정확히 022 로 설정되어 기준을 충족함
- `/etc/bashrc: umask 002` 라인은 022 미만으로 표면상 취약 조건에 해당하나, 점검내용 하단 단서(※)에 따라 RHEL/amzn 계열의 UPG(User Private Group, uid==gid·사설그룹) 환경에서는 002 라도 그룹이 본인 전용이라 실질적 노출 위험이 없어 안전한 것으로 판단됨
- 같은 `/etc/bashrc` 내에 `umask 022` 라인도 함께 존재하고 `/etc/pam.d/postlogin:session optional pam_umask.so silent` 로 pam_umask 가 활성화되어 있어, 핵심 전역 기준값이 022 로 유지됨
- 전역 기준 파일(profile, login.defs)이 모두 022 이상이고 002 항목은 UPG 조건부 안전에 해당하므로 최종 양호로 판정</t>
        </is>
      </c>
      <c r="H35" s="14" t="inlineStr">
        <is>
          <t>양호</t>
        </is>
      </c>
      <c r="I35" s="2" t="inlineStr">
        <is>
          <t>- 판단기준은 'UMASK 값 022 이상이면 양호'인데, 핵심 전역 설정인 /etc/profile:umask 022 및 /etc/login.defs:UMASK 022 가 모두 022 로 설정되어 기준을 충족함
- /etc/pam.d/postlogin 의 session optional pam_umask.so 가 login.defs 의 UMASK 022 를 세션에 적용하므로 시스템 기본 umask 는 022 로 강제됨
- /etc/bashrc 에 umask 002(022 미만) 라인이 존재하나, 같은 파일에 umask 022 라인도 함께 있으며 amzn(Red Hat 계열) UPG(User Private Group, uid==gid 사설그룹) 환경에서의 조건부 002 로 점검내용 비고에서 '안전'으로 명시되어 실질적 권한 노출 위험이 없음
- 따라서 022 미만 이상치(002)는 UPG 조건부 정상 패턴에 해당하며, 전역 표준 설정이 022 로 일관되므로 양호로 판정함</t>
        </is>
      </c>
    </row>
    <row r="36">
      <c r="B36" s="15" t="n"/>
      <c r="C36" s="9" t="inlineStr">
        <is>
          <t>U-31</t>
        </is>
      </c>
      <c r="D36" s="2" t="inlineStr">
        <is>
          <t>홈 디렉터리 소유자 및 권한 설정</t>
        </is>
      </c>
      <c r="E36" s="2" t="inlineStr">
        <is>
          <t>양호 : 홈 디렉토리 소유자가 해당 계정이고, 타 사용자 쓰기 권한이 제거된 경우
취약 : 홈 디렉토리 소유자가 해당 계정이 아니거나, 타 사용자 쓰기 권한이 부여된 경우</t>
        </is>
      </c>
      <c r="F36" s="14" t="inlineStr">
        <is>
          <t>양호</t>
        </is>
      </c>
      <c r="G36" s="2" t="inlineStr">
        <is>
          <t>- 판단기준의 '홈 디렉토리 소유자가 해당 계정' 조건 ↔ 점검내용 'ec2-user:ec2-user /home/ec2-user [계정:ec2-user]' 에서 소유자(ec2-user)와 계정(ec2-user)이 일치함
- 판단기준의 '타 사용자 쓰기 권한이 제거' 조건 ↔ 점검내용 'drwx------ (700)' 에서 other 권한이 --- 로 그룹·타 사용자 모두 읽기/쓰기/실행이 전혀 부여되지 않음(other 쓰기 비트 없음)
- 소유자 일치 및 타 사용자 쓰기 권한 부재가 모두 충족되어 양호로 판정함</t>
        </is>
      </c>
      <c r="H36" s="14" t="inlineStr">
        <is>
          <t>양호</t>
        </is>
      </c>
      <c r="I36" s="2" t="inlineStr">
        <is>
          <t>- 판단기준의 '홈 디렉토리 소유자가 해당 계정' 조건 ↔ 점검내용 라인 '/home/ec2-user' 의 소유자가 ec2-user 이고 점검 계정도 ec2-user 로 일치함
- 판단기준의 '타 사용자 쓰기 권한이 제거' 조건 ↔ 점검내용 권한 'drwx------ (700)' 에서 group/other 권한이 모두 '---' 으로 타 사용자 쓰기(w) 권한 없음
- 소유자 일치 및 other 쓰기 권한 부재가 모두 충족되며, 비표준·이상치 항목이 발견되지 않음</t>
        </is>
      </c>
    </row>
    <row r="37">
      <c r="B37" s="15" t="n"/>
      <c r="C37" s="9" t="inlineStr">
        <is>
          <t>U-32</t>
        </is>
      </c>
      <c r="D37" s="2" t="inlineStr">
        <is>
          <t>홈 디렉터리로 지정한 디렉터리의 존재 관리</t>
        </is>
      </c>
      <c r="E37" s="2" t="inlineStr">
        <is>
          <t>양호 : 홈 디렉토리가 존재하지 않는 계정이 발견되지 않는 경우
취약 : 홈 디렉토리가 존재하지 않는 계정이 발견된 경우</t>
        </is>
      </c>
      <c r="F37" s="14" t="inlineStr">
        <is>
          <t>양호</t>
        </is>
      </c>
      <c r="G37" s="2" t="inlineStr">
        <is>
          <t>- 판단기준의 '홈 디렉토리가 존재하지 않는 계정이 발견되지 않는 경우 → 양호'에 해당함
- 점검내용의 'ec2-user: /home/ec2-user (존재)' 라인에서 유일한 일반 계정 ec2-user의 홈 디렉터리 /home/ec2-user 가 실제 존재함으로 확인됨
- 홈 디렉터리가 존재하지 않는(미존재 표기) 계정이 점검내용에 하나도 없으므로 이상치 없음</t>
        </is>
      </c>
      <c r="H37" s="14" t="inlineStr">
        <is>
          <t>양호</t>
        </is>
      </c>
      <c r="I37" s="2" t="inlineStr">
        <is>
          <t>- 판단기준은 '홈 디렉토리가 존재하지 않는 계정이 발견되지 않는 경우' 양호이며, /etc/passwd 기준 계정의 홈 디렉터리 실재 여부를 점검함
- 점검내용 라인 'ec2-user: /home/ec2-user (존재)'에서 ec2-user 계정의 홈 디렉터리 /home/ec2-user 가 (존재)로 확인됨
- 홈 디렉터리가 존재하지 않는 계정이 발견되지 않았으므로 양호로 판정</t>
        </is>
      </c>
    </row>
    <row r="38">
      <c r="B38" s="15" t="n"/>
      <c r="C38" s="9" t="inlineStr">
        <is>
          <t>U-33</t>
        </is>
      </c>
      <c r="D38" s="2" t="inlineStr">
        <is>
          <t>숨겨진 파일 및 디렉터리 검색 및 제거</t>
        </is>
      </c>
      <c r="E38" s="2" t="inlineStr">
        <is>
          <t>양호 : 불필요하거나 의심스러운 숨겨진 파일 및 디렉토리를 제거한 경우
취약 : 불필요하거나 의심스러운 숨겨진 파일 및 디렉토리를 제거하지 않은 경우</t>
        </is>
      </c>
      <c r="F38" s="16" t="inlineStr">
        <is>
          <t>N/A</t>
        </is>
      </c>
      <c r="G38" s="2" t="inlineStr">
        <is>
          <t>- (판단기준: 불필요·의심스러운 숨김 파일/디렉터리 제거 여부) 열거된 숨김 항목 전부가 OS·패키지·표준 설정 범주에 매칭됨 — /etc/skel/.bash_logout·.bash_profile·.bashrc, /root 및 /home/ec2-user의 .bashrc·.cshrc·.tcshrc·.bash_history 등은 표준 셸 환경/이력 파일
- (시스템 무결성/패키지 표준) /boot/.vmlinuz-*.hmac, /usr/lib64/.lib*.so.*.hmac, /usr/lib/.build-id, /usr/lib/debug/.dwz, /var/lib/rpm/.rpm.lock, /etc/.pwd.lock, /var/spool/at/.SEQ 등은 커널 HMAC·빌드ID·rpm/at 잠금 등 정상 시스템 산출물
- (이상치 차집합 검사) 사용자 홈(/home/ec2-user, /root)에서 비표준 실행 숨김파일·외부 유입 의심 스크립트가 발견되지 않음 — .ssh(700), .bash_history(600), .viminfo/.lesshst(600) 등 권한·소유자도 정상
- (/tmp 임시 소켓) /tmp/.X11-unix·.ICE-unix·.font-unix·.XIM-unix는 모두 drwxrwxrwt(1777) root 소유의 표준 X/IPC 소켓 디렉터리로 정상 패턴
- (특이 명칭 점검) /usr/share/man/man1/..1.gz 는 명칭이 이질적이나 root:root 644로 시스템 man 경로 내 패키지 산출물이며 실행권한·비표준 위치 아님 → 의심 이상치로 보기 어려움
- 종합: 불필요하거나 악의적으로 은닉된 비표준 숨김 파일/디렉터리가 식별되지 않으므로 양호로 판정</t>
        </is>
      </c>
      <c r="H38" s="16" t="inlineStr">
        <is>
          <t>N/A</t>
        </is>
      </c>
      <c r="I38" s="2" t="inlineStr">
        <is>
          <t>- 판단기준의 '불필요하거나 의심스러운 숨겨진 파일/디렉터리 제거 여부'에 대해, 점검내용의 모든 항목이 OS·패키지·사용자 환경의 표준 숨김 파일 패턴에 해당함
- 시스템 표준 파일군: /boot/.vmlinuz-*.hmac, /usr/lib64/.lib*.hmac, /usr/lib/modules/.../.vmlinuz.hmac (FIPS 무결성 해시), /usr/lib/.build-id, /usr/lib/debug/.dwz, /etc/.pwd.lock, /etc/.updated, /var/.updated, /var/lib/rpm/.rpm.lock, /var/cache/dnf/.gpgkeyschecked.yum 등은 amzn2023 정상 산출물로 root:root 소유의 정상 권한
- /tmp/.X11-unix, /tmp/.ICE-unix, /tmp/.font-unix, /tmp/.XIM-unix 는 1777(sticky) root:root 의 표준 X/IPC 소켓 디렉터리로 정상
- 사용자 홈(/home/ec2-user, /root)의 .bashrc/.bash_profile/.bash_logout/.cshrc/.tcshrc/.viminfo/.lesshst/.bash_history/.netrwhist 및 .ssh(700), .vim(755) 은 모두 셸·도구 표준 숨김 파일이며 소유자/권한 정상(.ssh 700, .bash_history 600 등 적절)
- 화이트리스트 차집합 검사 결과, 홈 디렉터리 내 비표준 실행 숨김파일이나 의심스러운 백도어성 숨김 항목이 발견되지 않음. /usr/share/man/man1/..1.gz 도 man 패키지 정상 산출물(644 root:root)로 이상치 아님
- 따라서 불필요/의심 숨김 파일이 존재하지 않아 '양호'로 판정</t>
        </is>
      </c>
    </row>
    <row r="39">
      <c r="B39" s="9" t="inlineStr">
        <is>
          <t>서비스 관리</t>
        </is>
      </c>
      <c r="C39" s="9" t="inlineStr">
        <is>
          <t>U-34</t>
        </is>
      </c>
      <c r="D39" s="2" t="inlineStr">
        <is>
          <t>Finger 서비스 비활성화</t>
        </is>
      </c>
      <c r="E39" s="2" t="inlineStr">
        <is>
          <t>양호 : Finger 서비스가 비활성화된 경우
취약 : Finger 서비스가 활성화된 경우</t>
        </is>
      </c>
      <c r="F39" s="14" t="inlineStr">
        <is>
          <t>양호</t>
        </is>
      </c>
      <c r="G39" s="2" t="inlineStr">
        <is>
          <t>- 판단기준상 Finger 서비스가 비활성화된 경우 '양호'에 해당함
- 점검내용 로우데이터에서 '대상 서비스(finger fingerd) 구동: 비활성'으로 확인되어 finger·fingerd 서비스가 모두 구동되지 않음
- 활성화된 Finger 관련 서비스나 이상치(비표준 데몬 등)가 발견되지 않으므로 양호로 판정</t>
        </is>
      </c>
      <c r="H39" s="14" t="inlineStr">
        <is>
          <t>양호</t>
        </is>
      </c>
      <c r="I39" s="2" t="inlineStr">
        <is>
          <t>- 판단기준상 'Finger 서비스가 비활성화된 경우' 양호로 판정함
- 점검내용 원시 라인 '대상 서비스(finger fingerd) 구동: 비활성' 에서 finger·fingerd 서비스가 구동되지 않음(비활성)이 확인됨
- 활성화된 finger 관련 서비스가 발견되지 않으므로 취약 사유 없음</t>
        </is>
      </c>
    </row>
    <row r="40">
      <c r="B40" s="15" t="n"/>
      <c r="C40" s="9" t="inlineStr">
        <is>
          <t>U-35</t>
        </is>
      </c>
      <c r="D40" s="2" t="inlineStr">
        <is>
          <t>Anonymous FTP 비활성화</t>
        </is>
      </c>
      <c r="E40" s="2" t="inlineStr">
        <is>
          <t>양호 : 공유 서비스에 대해 익명 접근을 제한한 경우
취약 : 공유 서비스에 대해 익명 접근을 허용한 경우</t>
        </is>
      </c>
      <c r="F40" s="14" t="inlineStr">
        <is>
          <t>양호</t>
        </is>
      </c>
      <c r="G40" s="2" t="inlineStr">
        <is>
          <t>- 판단기준의 '익명 접근 제한' 조건과 관련하여, 점검내용에서 대상 FTP 서비스(vsftpd, proftpd, pure-ftpd)의 구동 상태가 모두 '비활성'으로 확인됨
- FTP 서비스 자체가 구동되지 않으므로 Anonymous(익명) FTP 접속 경로가 존재하지 않아 익명 접근이 원천적으로 차단됨
- 비표준·의심 구동 서비스가 점검내용에 나타나지 않아 익명 접근을 허용하는 공유 서비스가 식별되지 않음</t>
        </is>
      </c>
      <c r="H40" s="14" t="inlineStr">
        <is>
          <t>양호</t>
        </is>
      </c>
      <c r="I40" s="2" t="inlineStr">
        <is>
          <t>- 판단기준상 '공유 서비스에 대해 익명 접근을 제한한 경우' 양호인데, 점검내용 'vsftpd proftpd pure-ftpd 구동: 비활성'으로 대상 FTP 서비스가 모두 미구동 상태임
- FTP 서비스가 구동되지 않으므로 Anonymous(익명) FTP 접속 자체가 불가능하여 익명 접근이 차단된 것으로 판단됨
- 익명 접근을 허용하는 구동 중인 공유 서비스가 확인되지 않으므로 취약 사유에 해당하지 않음</t>
        </is>
      </c>
    </row>
    <row r="41">
      <c r="B41" s="15" t="n"/>
      <c r="C41" s="9" t="inlineStr">
        <is>
          <t>U-36</t>
        </is>
      </c>
      <c r="D41" s="2" t="inlineStr">
        <is>
          <t>r 계열 서비스 비활성화</t>
        </is>
      </c>
      <c r="E41" s="2" t="inlineStr">
        <is>
          <t>양호 : 불필요한 r 계열 서비스가 비활성화된 경우
취약 : 불필요한 r 계열 서비스가 활성화된 경우</t>
        </is>
      </c>
      <c r="F41" s="14" t="inlineStr">
        <is>
          <t>양호</t>
        </is>
      </c>
      <c r="G41" s="2" t="inlineStr">
        <is>
          <t>- 판단기준의 '양호: 불필요한 r 계열 서비스가 비활성화된 경우'에 해당함
- 점검내용 라인 '대상 서비스(rsh rlogin rexec in.rshd in.rlogind in.rexecd rsh.socket rlogin.socket) 구동: 비활성'에서 모든 r 계열 서비스가 비활성 상태로 확인됨
- 활성화된 r 계열 서비스가 하나도 없으므로 취약 요소(이상치) 없음</t>
        </is>
      </c>
      <c r="H41" s="14" t="inlineStr">
        <is>
          <t>양호</t>
        </is>
      </c>
      <c r="I41" s="2" t="inlineStr">
        <is>
          <t>- 판단기준의 '양호: 불필요한 r 계열 서비스가 비활성화된 경우'에 부합 — 점검내용에서 대상 서비스(rsh rlogin rexec in.rshd in.rlogind in.rexecd rsh.socket rlogin.socket) 구동 상태가 '비활성'으로 확인됨
- 점검 대상 r 계열 서비스 전체가 비활성 상태이며, 활성화된 서비스가 하나도 열거되지 않아 이상치(활성 서비스) 없음
- 따라서 불필요한 r 계열 서비스가 모두 비활성화되어 있어 '양호'로 판정</t>
        </is>
      </c>
    </row>
    <row r="42">
      <c r="B42" s="15" t="n"/>
      <c r="C42" s="9" t="inlineStr">
        <is>
          <t>U-37</t>
        </is>
      </c>
      <c r="D42" s="2" t="inlineStr">
        <is>
          <t>cron 파일 소유자 및 권한 설정</t>
        </is>
      </c>
      <c r="E42" s="2" t="inlineStr">
        <is>
          <t>양호 : crontab 및 at 명령어에 일반 사용자 실행 권한이 제거되어 있으며, cron 및 at 관련 파일 권한이 640 이하인 경우
취약 : crontab 및 at 명령어에 일반 사용자 실행 권한이 부여되어 있으며, cron 및 at 관련 파일 권한이 640 이상인 경우</t>
        </is>
      </c>
      <c r="F42" s="14" t="inlineStr">
        <is>
          <t>양호</t>
        </is>
      </c>
      <c r="G42" s="2" t="inlineStr">
        <is>
          <t>- 판단기준(cron 및 at 관련 파일 권한이 640 이하)에 대해, 점검내용의 '-rw-r----- (640) root:root /etc/crontab' 라인이 권한 640, 소유자 root로 기준을 충족함
- 판단기준(at 관련 파일 권한 640 이하, 소유자 root)에 대해, 점검내용의 '-rw-r----- (640) root:root /etc/at.deny' 라인이 권한 640, 소유자 root로 기준을 충족함
- 두 파일 모두 other 칸에 권한이 없어(rw-r-----) 일반 사용자 접근/실행 권한이 제거된 상태로 확인됨
- 제시된 모든 라인이 정상 패턴(root 소유, 640)에 매칭되며 권한 초과(other 읽기·쓰기, 그룹 쓰기 등)나 비표준 소유자 등 이상치가 발견되지 않음</t>
        </is>
      </c>
      <c r="H42" s="14" t="inlineStr">
        <is>
          <t>양호</t>
        </is>
      </c>
      <c r="I42" s="2" t="inlineStr">
        <is>
          <t>- 판단기준의 '양호' 조건은 cron·at 관련 파일 권한이 640 이하인 경우인데, /etc/crontab 은 점검내용에서 '-rw-r----- (640) root:root' 로 권한 640, 소유자 root:root 로 확인되어 조건을 충족함
- /etc/at.deny 역시 '-rw-r----- (640) root:root' 로 권한 640, 소유자 root 로 확인되어 일반 사용자(other)에 어떤 권한도 부여되지 않음(other 칸 ---)
- 두 파일 모두 other 권한이 없어 일반 사용자 실행/접근 권한이 제거된 상태이며, 권한이 640을 초과(예: 644 등 other 읽기 초과)하는 비표준·이상치 항목이 점검내용에 존재하지 않음</t>
        </is>
      </c>
    </row>
    <row r="43">
      <c r="B43" s="15" t="n"/>
      <c r="C43" s="9" t="inlineStr">
        <is>
          <t>U-38</t>
        </is>
      </c>
      <c r="D43" s="2" t="inlineStr">
        <is>
          <t>DoS 공격에 취약한 서비스 비활성화</t>
        </is>
      </c>
      <c r="E43" s="2" t="inlineStr">
        <is>
          <t>양호 : DoS 공격에 취약한 서비스가 비활성화된 경우
취약 : DoS 공격에 취약한 서비스가 활성화된 경우</t>
        </is>
      </c>
      <c r="F43" s="14" t="inlineStr">
        <is>
          <t>양호</t>
        </is>
      </c>
      <c r="G43" s="2" t="inlineStr">
        <is>
          <t>- 판단기준은 echo·discard·daytime·chargen 등 DoS 공격에 취약한 서비스가 비활성화되어 있으면 양호로 판정함
- 점검내용 원시 라인 '대상 서비스(echo discard daytime chargen) 구동: 비활성'에서 4개 대상 서비스 모두 구동 상태가 '비활성'으로 확인됨
- 활성화된 취약 서비스가 한 건도 없으므로 양호 조건에 부합함</t>
        </is>
      </c>
      <c r="H43" s="14" t="inlineStr">
        <is>
          <t>양호</t>
        </is>
      </c>
      <c r="I43" s="2" t="inlineStr">
        <is>
          <t>- 판단기준은 echo, discard, daytime, chargen 등 DoS 공격에 취약한 서비스가 비활성화되어 있을 경우 양호로 판정함
- 점검내용에서 '대상 서비스(echo discard daytime chargen) 구동: 비활성'으로 확인되어 4개 서비스 모두 구동되지 않음
- 활성화된 취약 서비스가 존재하지 않으므로 양호로 판정함</t>
        </is>
      </c>
    </row>
    <row r="44">
      <c r="B44" s="15" t="n"/>
      <c r="C44" s="9" t="inlineStr">
        <is>
          <t>U-39</t>
        </is>
      </c>
      <c r="D44" s="2" t="inlineStr">
        <is>
          <t>불필요한 NFS 서비스 비활성화</t>
        </is>
      </c>
      <c r="E44" s="2" t="inlineStr">
        <is>
          <t>양호 : 불필요한 NFS 서비스 관련 데몬이 비활성화된 경우
취약 : 불필요한 NFS 서비스 관련 데몬이 활성화된 경우</t>
        </is>
      </c>
      <c r="F44" s="14" t="inlineStr">
        <is>
          <t>양호</t>
        </is>
      </c>
      <c r="G44" s="2" t="inlineStr">
        <is>
          <t>- 판단기준의 '양호: 불필요한 NFS 서비스 관련 데몬이 비활성화된 경우'에 해당함
- 점검내용 라인 '대상 서비스(nfs-server nfs rpcbind) 구동: 비활성' — nfs-server, nfs, rpcbind 데몬 모두 비활성 상태로 확인됨
- 활성화된 NFS 관련 데몬이 없으므로 취약 조건(활성화)에 해당하지 않음</t>
        </is>
      </c>
      <c r="H44" s="14" t="inlineStr">
        <is>
          <t>양호</t>
        </is>
      </c>
      <c r="I44" s="2" t="inlineStr">
        <is>
          <t>- 판단기준의 '양호: 불필요한 NFS 서비스 관련 데몬이 비활성화된 경우'에 해당함
- 점검내용 라인 '대상 서비스(nfs-server nfs rpcbind) 구동: 비활성'에서 nfs-server, nfs, rpcbind 모든 NFS 관련 데몬이 비활성 상태로 확인됨
- 활성화된 NFS 관련 데몬이 없으므로 취약 조건에 해당하지 않음</t>
        </is>
      </c>
    </row>
    <row r="45">
      <c r="B45" s="15" t="n"/>
      <c r="C45" s="9" t="inlineStr">
        <is>
          <t>U-40</t>
        </is>
      </c>
      <c r="D45" s="2" t="inlineStr">
        <is>
          <t>NFS 접근 통제</t>
        </is>
      </c>
      <c r="E45" s="2" t="inlineStr">
        <is>
          <t>양호 : 접근 통제가 설정되어 있으며 NFS 설정 파일 접근 권한이 644 이하인 경우
취약 : 접근 통제가 설정되어 있지 않고 NFS 설정 파일 접근 권한이 644를 초과하는 경우</t>
        </is>
      </c>
      <c r="F45" s="14" t="inlineStr">
        <is>
          <t>양호</t>
        </is>
      </c>
      <c r="G45" s="2" t="inlineStr">
        <is>
          <t>- 판단기준은 NFS 서비스 구동 시 접근 통제(/etc/exports) 설정 여부와 설정 파일 권한(644 이하)을 확인하는 항목임
- 점검내용상 '대상 서비스(nfs-server nfs) 구동: 비활성'으로 NFS 서비스가 동작하지 않음
- exports 설정이 (없음/비어있음)으로 외부에 공유(export)되는 디렉터리가 존재하지 않아 비인가 접근 위험이 없음
- NFS 서비스 미구동 및 공유 디렉터리 부재로 접근 통제 미설정에 따른 위협이 발생하지 않으므로 양호로 판정함</t>
        </is>
      </c>
      <c r="H45" s="14" t="inlineStr">
        <is>
          <t>양호</t>
        </is>
      </c>
      <c r="I45" s="2" t="inlineStr">
        <is>
          <t>- 판단기준의 '접근 통제 설정 + NFS 설정 파일 권한 644 이하'는 NFS 서비스가 구동 중일 때 의미를 가지나, 점검내용의 '대상 서비스(nfs-server nfs) 구동: 비활성' 라인에서 NFS 데몬이 동작하지 않음을 확인함
- 점검내용의 'exports: (없음/비어있음)' 라인에서 외부로 공유(export)되는 디렉터리가 존재하지 않아, 부적절한 접근 통제로 인한 노출 위험이 발생하지 않음
- NFS 서비스 미구동 + 공유 항목 부재로 비표준·과도 공유(예: '*' 또는 무제한 호스트 공유) 등 의심 이상치도 발견되지 않음
- 서비스가 비활성이고 공유 설정 자체가 없어 NFS를 통한 침해 경로가 성립하지 않으므로 양호로 판정함</t>
        </is>
      </c>
    </row>
    <row r="46">
      <c r="B46" s="15" t="n"/>
      <c r="C46" s="9" t="inlineStr">
        <is>
          <t>U-41</t>
        </is>
      </c>
      <c r="D46" s="2" t="inlineStr">
        <is>
          <t>불필요한 automountd 제거</t>
        </is>
      </c>
      <c r="E46" s="2" t="inlineStr">
        <is>
          <t>양호 : automountd 서비스가 비활성화된 경우
취약 : automountd 서비스가 활성화된 경우</t>
        </is>
      </c>
      <c r="F46" s="14" t="inlineStr">
        <is>
          <t>양호</t>
        </is>
      </c>
      <c r="G46" s="2" t="inlineStr">
        <is>
          <t>- 판단기준의 '양호' 조건은 automountd 서비스가 비활성화된 경우이다.
- 점검내용(로우데이터)에서 '대상 서비스(autofs automountd) 구동: 비활성'으로 확인되어 autofs/automountd 서비스가 모두 구동되지 않는 상태이다.
- 활성화된 자동 마운트 관련 서비스가 없으므로 양호로 판정한다.</t>
        </is>
      </c>
      <c r="H46" s="14" t="inlineStr">
        <is>
          <t>양호</t>
        </is>
      </c>
      <c r="I46" s="2" t="inlineStr">
        <is>
          <t>- 판단기준의 '양호' 조건은 automountd 서비스가 비활성화된 경우이며, 점검내용 라인 '대상 서비스(autofs automountd) 구동: 비활성'에서 autofs/automountd 서비스가 비활성 상태로 확인됨
- 점검내용에 활성(구동중)으로 표시된 automountd 관련 서비스가 존재하지 않아 '취약' 조건(서비스 활성화)에 해당하지 않음
- 불필요한 automountd 서비스가 구동되지 않으므로 양호로 판정</t>
        </is>
      </c>
    </row>
    <row r="47">
      <c r="B47" s="15" t="n"/>
      <c r="C47" s="9" t="inlineStr">
        <is>
          <t>U-42</t>
        </is>
      </c>
      <c r="D47" s="2" t="inlineStr">
        <is>
          <t>불필요한 RPC 서비스 비활성화</t>
        </is>
      </c>
      <c r="E47" s="2" t="inlineStr">
        <is>
          <t>양호 : 불필요한 RPC 서비스가 비활성화된 경우
취약 : 불필요한 RPC 서비스가 활성화된 경우</t>
        </is>
      </c>
      <c r="F47" s="14" t="inlineStr">
        <is>
          <t>양호</t>
        </is>
      </c>
      <c r="G47" s="2" t="inlineStr">
        <is>
          <t>- 판단기준상 불필요한 RPC 서비스가 비활성화되어 있으면 '양호'에 해당함
- 점검내용 로우데이터에서 대상 서비스(rpcbind, rpc.cmsd, rpc.ttdbserverd, rusersd, sprayd, walld)의 구동 상태가 '비활성'으로 확인됨
- 활성화된 불필요 RPC 서비스가 존재하지 않으므로 취약 조건에 해당하지 않음</t>
        </is>
      </c>
      <c r="H47" s="14" t="inlineStr">
        <is>
          <t>양호</t>
        </is>
      </c>
      <c r="I47" s="2" t="inlineStr">
        <is>
          <t>- 판단기준의 '양호: 불필요한 RPC 서비스가 비활성화된 경우'에 해당하며, 점검내용의 '대상 서비스(rpcbind rpc.cmsd rpc.ttdbserverd rusersd sprayd walld) 구동: 비활성' 라인이 이를 직접 충족함
- 대상으로 명시된 6개 RPC 관련 서비스(rpcbind, rpc.cmsd, rpc.ttdbserverd, rusersd, sprayd, walld) 모두 구동 상태가 '비활성'으로 확인되어 활성화된 불필요 RPC 서비스가 존재하지 않음
- 활성으로 표시된 의심·이상치 서비스가 없으므로 취약 사유에 해당하지 않음</t>
        </is>
      </c>
    </row>
    <row r="48">
      <c r="B48" s="15" t="n"/>
      <c r="C48" s="9" t="inlineStr">
        <is>
          <t>U-43</t>
        </is>
      </c>
      <c r="D48" s="2" t="inlineStr">
        <is>
          <t>NIS, NIS+ 점검</t>
        </is>
      </c>
      <c r="E48" s="2" t="inlineStr">
        <is>
          <t>양호 : NIS 서비스가 비활성화되어 있거나, 불가피하게 사용 시 NIS+ 서비스를 사용하는 경우
취약 : NIS 서비스가 활성화된 경우</t>
        </is>
      </c>
      <c r="F48" s="14" t="inlineStr">
        <is>
          <t>양호</t>
        </is>
      </c>
      <c r="G48" s="2" t="inlineStr">
        <is>
          <t>- 판단기준의 '양호: NIS 서비스가 비활성화되어 있는 경우'에 해당한다.
- 점검내용 라인 '대상 서비스(ypserv ypbind nis) 구동: 비활성'에서 NIS 관련 서비스(ypserv, ypbind, nis)가 모두 비활성 상태로 확인된다.
- 활성화된 NIS 서비스가 존재하지 않으므로 취약 조건(NIS 서비스 활성화)에 해당하지 않는다.</t>
        </is>
      </c>
      <c r="H48" s="14" t="inlineStr">
        <is>
          <t>양호</t>
        </is>
      </c>
      <c r="I48" s="2" t="inlineStr">
        <is>
          <t>- 판단기준의 '양호: NIS 서비스가 비활성화되어 있는 경우'에 해당함
- 점검내용 라인 '대상 서비스(ypserv ypbind nis) 구동: 비활성'에서 ypserv·ypbind·nis 서비스가 모두 비활성 상태로 확인됨
- 활성화된 NIS 관련 서비스(취약 조건)가 존재하지 않아 이상치 없음</t>
        </is>
      </c>
    </row>
    <row r="49">
      <c r="B49" s="15" t="n"/>
      <c r="C49" s="9" t="inlineStr">
        <is>
          <t>U-44</t>
        </is>
      </c>
      <c r="D49" s="2" t="inlineStr">
        <is>
          <t>tftp, talk 서비스 비활성화</t>
        </is>
      </c>
      <c r="E49" s="2" t="inlineStr">
        <is>
          <t>양호 : tftp, talk, ntalk 서비스가 비활성화된 경우
취약 : tftp, talk, ntalk 서비스가 활성화된 경우</t>
        </is>
      </c>
      <c r="F49" s="14" t="inlineStr">
        <is>
          <t>양호</t>
        </is>
      </c>
      <c r="G49" s="2" t="inlineStr">
        <is>
          <t>- 판단기준은 tftp, talk, ntalk 서비스가 비활성화된 경우 '양호'로 본다.
- 점검내용(로우데이터)에 '대상 서비스(tftp talk ntalk tftp.socket) 구동: 비활성'으로 명시되어 있어 모든 대상 서비스가 비활성 상태이다.
- 활성(active/구동중)인 의심 서비스가 하나도 없으므로 양호로 판정한다.</t>
        </is>
      </c>
      <c r="H49" s="14" t="inlineStr">
        <is>
          <t>양호</t>
        </is>
      </c>
      <c r="I49" s="2" t="inlineStr">
        <is>
          <t>- 판단기준의 양호 조건은 tftp, talk, ntalk 서비스가 비활성화된 경우임
- 점검내용 로우데이터에 '대상 서비스(tftp talk ntalk tftp.socket) 구동: 비활성'으로 명시되어 대상 서비스 4종 모두 활성화되어 있지 않음
- 취약 조건(tftp/talk/ntalk 활성화)에 해당하는 구동 중 서비스가 없으므로 양호로 판정함</t>
        </is>
      </c>
    </row>
    <row r="50">
      <c r="B50" s="15" t="n"/>
      <c r="C50" s="9" t="inlineStr">
        <is>
          <t>U-45</t>
        </is>
      </c>
      <c r="D50" s="2" t="inlineStr">
        <is>
          <t>메일 서비스 버전 점검</t>
        </is>
      </c>
      <c r="E50" s="2" t="inlineStr">
        <is>
          <t>양호 : 메일 서비스 버전이 최신 버전인 경우
취약 : 메일 서비스 버전이 최신 버전이 아닌 경우</t>
        </is>
      </c>
      <c r="F50" s="16" t="inlineStr">
        <is>
          <t>N/A</t>
        </is>
      </c>
      <c r="G50" s="2" t="inlineStr">
        <is>
          <t>- 판단기준은 '메일 서비스 버전이 최신인 경우 양호'이며, 점검 대상은 postfix/sendmail 메일 서비스임
- 점검내용 원시 라인 '대상 서비스(postfix sendmail) 구동: 비활성'에 따라 메일 서비스가 구동되지 않음
- 메일 서비스가 비활성 상태이므로 외부에 노출되어 악용될 수 있는 메일 데몬이 없어 버전 취약점 노출 위험이 존재하지 않음
- 구동 중인 취약 버전 메일 서비스가 확인되지 않으므로 '양호'로 판정함</t>
        </is>
      </c>
      <c r="H50" s="16" t="inlineStr">
        <is>
          <t>N/A</t>
        </is>
      </c>
      <c r="I50" s="2" t="inlineStr">
        <is>
          <t>- 판단기준은 '메일 서비스 버전이 최신 버전인지' 여부를 점검하나, 점검내용 라인 '대상 서비스(postfix sendmail) 구동: 비활성'에 따라 postfix·sendmail 메일 서비스가 모두 구동되지 않음
- 메일 서비스가 비활성 상태이므로 버전 점검 대상 자체가 존재하지 않아 이 항목의 점검 대상이 아님
- 따라서 본 진단대상에 한해 해당 항목은 N/A로 판정</t>
        </is>
      </c>
    </row>
    <row r="51">
      <c r="B51" s="15" t="n"/>
      <c r="C51" s="9" t="inlineStr">
        <is>
          <t>U-46</t>
        </is>
      </c>
      <c r="D51" s="2" t="inlineStr">
        <is>
          <t>일반 사용자의 메일 서비스 실행 방지</t>
        </is>
      </c>
      <c r="E51" s="2" t="inlineStr">
        <is>
          <t>양호 : 일반 사용자의 메일 서비스 실행 방지가 설정된 경우
취약 : 일반 사용자의 메일 서비스 실행 방지가 설정되어 있지 않은 경우</t>
        </is>
      </c>
      <c r="F51" s="14" t="inlineStr">
        <is>
          <t>양호</t>
        </is>
      </c>
      <c r="G51" s="2" t="inlineStr">
        <is>
          <t>- 판단기준의 '양호: 일반 사용자의 메일 서비스 실행 방지가 설정된 경우'에 해당함
- 점검내용(로우데이터)에서 '대상 서비스(postfix sendmail) 구동: 비활성'으로 확인되어, 메일 서비스(postfix·sendmail) 자체가 동작하지 않음
- 메일 서비스가 비활성 상태이므로 일반 사용자가 메일 서비스를 실행할 수 있는 경로가 존재하지 않아 양호로 판정함</t>
        </is>
      </c>
      <c r="H51" s="14" t="inlineStr">
        <is>
          <t>양호</t>
        </is>
      </c>
      <c r="I51" s="2" t="inlineStr">
        <is>
          <t>- 판단기준의 '양호 : 일반 사용자의 메일 서비스 실행 방지가 설정된 경우'에 해당한다.
- 점검내용(로우데이터) '대상 서비스(postfix sendmail) 구동: 비활성'을 보면 postfix·sendmail 메일 서비스가 모두 비활성(미구동) 상태이다.
- 메일 서비스 자체가 구동되지 않으므로 일반 사용자가 메일 서비스를 실행할 수 있는 경로가 존재하지 않아 메일 서비스 실행 방지 요건을 충족한다.</t>
        </is>
      </c>
    </row>
    <row r="52">
      <c r="B52" s="15" t="n"/>
      <c r="C52" s="9" t="inlineStr">
        <is>
          <t>U-47</t>
        </is>
      </c>
      <c r="D52" s="2" t="inlineStr">
        <is>
          <t>스팸 메일 릴레이 제한</t>
        </is>
      </c>
      <c r="E52" s="2" t="inlineStr">
        <is>
          <t>양호 : 릴레이 제한이 설정된 경우
취약 : 릴레이 제한이 설정되어 있지 않은 경우</t>
        </is>
      </c>
      <c r="F52" s="14" t="inlineStr">
        <is>
          <t>양호</t>
        </is>
      </c>
      <c r="G52" s="2" t="inlineStr">
        <is>
          <t>- 판단기준은 릴레이 제한 설정 여부로 양호/취약을 가르며, 점검 대상은 메일(postfix/sendmail) 서비스임
- 점검내용(로우데이터) 라인 '대상 서비스(postfix sendmail) 구동: 비활성'에서 SMTP 메일 서비스가 구동되지 않음을 확인함
- 메일 서비스가 비활성 상태이므로 외부에서 악용 가능한 스팸 릴레이 경로 자체가 존재하지 않아 릴레이 제한이 충족된 것으로 판단함
- 구동 중인 메일 서비스가 없어 릴레이 허용으로 인한 이상치(오픈 릴레이) 위험이 없으므로 양호로 판정함</t>
        </is>
      </c>
      <c r="H52" s="14" t="inlineStr">
        <is>
          <t>양호</t>
        </is>
      </c>
      <c r="I52" s="2" t="inlineStr">
        <is>
          <t>- 판단기준은 메일 서비스(릴레이) 동작을 전제로 '릴레이 제한 설정 여부'를 점검하는 항목임
- 점검내용(로우데이터) '대상 서비스(postfix sendmail) 구동: 비활성'에 따라 진단대상에서 SMTP 메일 서비스가 구동되지 않음
- 메일 서비스가 비활성 상태이므로 스팸 릴레이 제한 점검 대상 자체가 존재하지 않아 '점검 대상 아님'에 해당함
- 따라서 양호/취약 판정 대상이 아니며 N/A로 판정함</t>
        </is>
      </c>
    </row>
    <row r="53">
      <c r="B53" s="15" t="n"/>
      <c r="C53" s="9" t="inlineStr">
        <is>
          <t>U-48</t>
        </is>
      </c>
      <c r="D53" s="2" t="inlineStr">
        <is>
          <t>expn, vrfy 명령어 제한</t>
        </is>
      </c>
      <c r="E53" s="2" t="inlineStr">
        <is>
          <t>양호 : noexpn, novrfy 옵션이 설정된 경우
취약 : noexpn, novrfy 옵션이 설정되어 있지 않은 경우</t>
        </is>
      </c>
      <c r="F53" s="14" t="inlineStr">
        <is>
          <t>양호</t>
        </is>
      </c>
      <c r="G53" s="2" t="inlineStr">
        <is>
          <t>- 판단기준은 sendmail 설정에 noexpn, novrfy 옵션이 설정되어 있어야 양호이며, 미설정 시 취약으로 본다.
- 점검내용(로우데이터)상 '대상 서비스(sendmail) 구동: 비활성'으로, SMTP 서비스 자체가 동작하지 않는다.
- sendmail이 비활성 상태이면 expn/vrfy 명령을 통한 사용자 계정 정보 노출 위험이 존재하지 않으므로 양호로 판정한다.</t>
        </is>
      </c>
      <c r="H53" s="14" t="inlineStr">
        <is>
          <t>양호</t>
        </is>
      </c>
      <c r="I53" s="2" t="inlineStr">
        <is>
          <t>- 판단기준은 sendmail 서비스에서 noexpn, novrfy 옵션 설정 여부를 점검하나, 점검내용상 대상 서비스(sendmail) 구동이 '비활성' 상태임
- KISA 기준상 SMTP(sendmail) 서비스를 사용하지 않으면(미구동) expn/vrfy 명령을 통한 사용자 계정 정보 노출 위험이 존재하지 않으므로 양호로 판정함
- 서비스가 비활성이므로 noexpn/novrfy 미설정에 따른 실질적 취약 요소가 발생하지 않음</t>
        </is>
      </c>
    </row>
    <row r="54">
      <c r="B54" s="15" t="n"/>
      <c r="C54" s="9" t="inlineStr">
        <is>
          <t>U-49</t>
        </is>
      </c>
      <c r="D54" s="2" t="inlineStr">
        <is>
          <t>DNS 보안 버전 패치</t>
        </is>
      </c>
      <c r="E54" s="2" t="inlineStr">
        <is>
          <t>양호 : 주기적으로 패치를 관리하는 경우
취약 : 주기적으로 패치를 관리하고 있지 않은 경우</t>
        </is>
      </c>
      <c r="F54" s="16" t="inlineStr">
        <is>
          <t>N/A</t>
        </is>
      </c>
      <c r="G54" s="2" t="inlineStr">
        <is>
          <t>- 판단기준(U-49 DNS 보안 버전 패치)은 DNS 서비스가 구동 중인 시스템을 대상으로 패치 관리 여부를 점검하는 항목임
- 점검내용(로우데이터)상 대상 서비스(named bind9) 구동: 비활성 으로 확인되어 DNS 서비스가 운영되고 있지 않음
- DNS 서비스를 사용하지 않는 시스템이므로 본 항목은 점검 대상에 해당하지 않아 N/A로 판정함</t>
        </is>
      </c>
      <c r="H54" s="16" t="inlineStr">
        <is>
          <t>N/A</t>
        </is>
      </c>
      <c r="I54" s="2" t="inlineStr">
        <is>
          <t>- 판단기준은 'DNS 서비스를 운영할 때 주기적 보안 패치 관리 여부'를 점검하는 항목임
- 점검내용 원시 라인 '대상 서비스(named bind9) 구동: 비활성'에 따라 named/bind9 DNS 서비스가 구동되지 않음
- DNS 서비스를 사용하지 않아 본 항목의 점검 대상이 아니므로 N/A로 판정함</t>
        </is>
      </c>
    </row>
    <row r="55">
      <c r="B55" s="15" t="n"/>
      <c r="C55" s="9" t="inlineStr">
        <is>
          <t>U-50</t>
        </is>
      </c>
      <c r="D55" s="2" t="inlineStr">
        <is>
          <t>DNS Zone Transfer 설정</t>
        </is>
      </c>
      <c r="E55" s="2" t="inlineStr">
        <is>
          <t>양호 : Zone Transfer를 허가된 사용자에게만 허용한 경우
취약 : Zone Transfer를 모든 사용자에게 허용한 경우</t>
        </is>
      </c>
      <c r="F55" s="14" t="inlineStr">
        <is>
          <t>양호</t>
        </is>
      </c>
      <c r="G55" s="2" t="inlineStr">
        <is>
          <t>- 판단기준은 DNS의 Zone Transfer 허용 범위(허가된 사용자만 허용=양호 / 모든 사용자 허용=취약)를 점검하는 항목이며, 이는 DNS 서비스가 구동 중일 때만 점검 대상이 됨
- 점검내용(로우데이터)상 대상 서비스(named/bind9) 구동이 '비활성'으로 확인되어 DNS 서비스 자체가 동작하지 않음
- DNS 서비스가 구동되지 않으므로 Zone Transfer 설정이 점검 대상이 아니어서 N/A로 판정함</t>
        </is>
      </c>
      <c r="H55" s="14" t="inlineStr">
        <is>
          <t>양호</t>
        </is>
      </c>
      <c r="I55" s="2" t="inlineStr">
        <is>
          <t>- 판단기준은 DNS 서비스의 Zone Transfer 허용 범위(허가된 사용자 한정=양호 / 모든 사용자=취약)를 점검 대상으로 함
- 점검내용(로우데이터) '대상 서비스(named bind9) 구동: 비활성'으로 DNS 서비스가 동작하지 않음
- DNS 서비스가 구동되지 않아 Zone Transfer 설정 자체가 점검 대상에 해당하지 않으므로 N/A로 판정</t>
        </is>
      </c>
    </row>
    <row r="56">
      <c r="B56" s="15" t="n"/>
      <c r="C56" s="9" t="inlineStr">
        <is>
          <t>U-51</t>
        </is>
      </c>
      <c r="D56" s="2" t="inlineStr">
        <is>
          <t>DNS 취약한 동적 업데이트 설정 금지</t>
        </is>
      </c>
      <c r="E56" s="2" t="inlineStr">
        <is>
          <t>양호 : DNS 서비스의 동적 업데이트 기능이 비활성화되었거나, 활성화 시 적절한 접근통제를 수행하고 있는 경우
취약 : DNS 서비스의 동적 업데이트 기능이 활성화 중이며 적절한 접근통제를 수행하고 있지 않은 경우</t>
        </is>
      </c>
      <c r="F56" s="14" t="inlineStr">
        <is>
          <t>양호</t>
        </is>
      </c>
      <c r="G56" s="2" t="inlineStr">
        <is>
          <t>- 판단기준의 '양호: DNS 서비스의 동적 업데이트 기능이 비활성화'에 해당 ↔ 점검내용 '대상 서비스(named bind9) 구동: 비활성'
- DNS 서비스(named/bind9)가 구동되지 않아 동적 업데이트 기능 자체가 동작하지 않으므로 취약한 동적 업데이트로 인한 위협이 존재하지 않음
- 점검내용 원시 라인상 비표준/의심 서비스 구동 흔적이 없어 이상치 없음</t>
        </is>
      </c>
      <c r="H56" s="14" t="inlineStr">
        <is>
          <t>양호</t>
        </is>
      </c>
      <c r="I56" s="2" t="inlineStr">
        <is>
          <t>- 판단기준은 'DNS 서비스의 동적 업데이트 기능' 활성/접근통제 여부를 점검하나, 점검내용 원시 라인 '대상 서비스(named bind9) 구동: 비활성'에서 DNS 서비스 자체가 구동되지 않음
- DNS 서비스가 비활성이므로 동적 업데이트 취약점이 성립할 수 있는 점검 대상(named/bind9)이 존재하지 않아 본 항목의 점검 대상에 해당하지 않음
- 따라서 양호/취약 판정 대상이 아니며 N/A로 판정함</t>
        </is>
      </c>
    </row>
    <row r="57">
      <c r="B57" s="15" t="n"/>
      <c r="C57" s="9" t="inlineStr">
        <is>
          <t>U-52</t>
        </is>
      </c>
      <c r="D57" s="2" t="inlineStr">
        <is>
          <t>Telnet 서비스 비활성화</t>
        </is>
      </c>
      <c r="E57" s="2" t="inlineStr">
        <is>
          <t>양호 : 원격 접속 시 Telnet 프로토콜을 비활성화하고 있는 경우
취약 : 원격 접속 시 Telnet 프로토콜을 사용하는 경우</t>
        </is>
      </c>
      <c r="F57" s="14" t="inlineStr">
        <is>
          <t>양호</t>
        </is>
      </c>
      <c r="G57" s="2" t="inlineStr">
        <is>
          <t>- 판단기준의 '양호' 조건은 원격 접속 시 Telnet 프로토콜을 비활성화한 경우임
- 점검내용에서 대상 서비스(telnet, telnet.socket, telnetd)의 구동 상태가 '비활성'으로 확인됨
- Telnet 관련 서비스가 모두 비활성 상태이므로 원격 접속에 Telnet 프로토콜을 사용하지 않아 양호로 판정함</t>
        </is>
      </c>
      <c r="H57" s="14" t="inlineStr">
        <is>
          <t>양호</t>
        </is>
      </c>
      <c r="I57" s="2" t="inlineStr">
        <is>
          <t>- 판단기준의 '원격 접속 시 Telnet 프로토콜을 비활성화하고 있는 경우(양호)' 조건과 점검내용 대응을 검토함
- 점검내용 라인 '대상 서비스(telnet telnet.socket telnetd) 구동: 비활성'에 따라 Telnet 관련 서비스(telnet, telnet.socket, telnetd)가 모두 비활성 상태로 확인됨
- 구동 중인 Telnet 서비스가 존재하지 않아 원격 접속 시 Telnet 프로토콜을 사용하지 않으므로 양호로 판정함
- 비표준/이상치로 의심될 Telnet 관련 활성 서비스가 식별되지 않음</t>
        </is>
      </c>
    </row>
    <row r="58">
      <c r="B58" s="15" t="n"/>
      <c r="C58" s="9" t="inlineStr">
        <is>
          <t>U-53</t>
        </is>
      </c>
      <c r="D58" s="2" t="inlineStr">
        <is>
          <t>FTP 서비스 정보 노출 제한</t>
        </is>
      </c>
      <c r="E58" s="2" t="inlineStr">
        <is>
          <t>양호 : FTP 접속 배너에 노출되는 정보가 없는 경우
취약 : FTP 접속 배너에 노출되는 정보가 있는 경우</t>
        </is>
      </c>
      <c r="F58" s="14" t="inlineStr">
        <is>
          <t>양호</t>
        </is>
      </c>
      <c r="G58" s="2" t="inlineStr">
        <is>
          <t>- 판단기준은 FTP 접속 배너에 노출되는 정보 유무를 점검하는 항목임
- 점검내용(로우데이터)에서 '대상 서비스(vsftpd proftpd) 구동: 비활성'으로 확인되어 FTP 서비스가 구동되지 않음
- FTP 서비스가 동작하지 않으므로 접속 배너 자체가 존재하지 않아 본 항목의 점검 대상이 아님 → N/A로 판정</t>
        </is>
      </c>
      <c r="H58" s="14" t="inlineStr">
        <is>
          <t>양호</t>
        </is>
      </c>
      <c r="I58" s="2" t="inlineStr">
        <is>
          <t>- 판단기준은 FTP 접속 배너에 노출되는 정보가 있으면 '취약', 없으면 '양호'로 규정한다.
- 점검내용(로우데이터) '대상 서비스(vsftpd proftpd) 구동: 비활성' 라인에서 vsftpd·proftpd 모두 구동되지 않음이 확인된다.
- FTP 서비스가 비활성 상태이므로 접속 시 배너를 통해 노출되는 정보 자체가 존재하지 않아, 정보 노출 위험이 없다.
- 비표준·의심 서비스 구동 흔적도 로우데이터상 확인되지 않으므로 이상치 없음으로 판단한다.</t>
        </is>
      </c>
    </row>
    <row r="59">
      <c r="B59" s="15" t="n"/>
      <c r="C59" s="9" t="inlineStr">
        <is>
          <t>U-54</t>
        </is>
      </c>
      <c r="D59" s="2" t="inlineStr">
        <is>
          <t>암호화되지 않는 FTP 서비스 비활성화</t>
        </is>
      </c>
      <c r="E59" s="2" t="inlineStr">
        <is>
          <t>양호 : 암호화되지 않은 FTP 서비스가 비활성화된 경우
취약 : 암호화되지 않은 FTP 서비스가 활성화된 경우</t>
        </is>
      </c>
      <c r="F59" s="14" t="inlineStr">
        <is>
          <t>양호</t>
        </is>
      </c>
      <c r="G59" s="2" t="inlineStr">
        <is>
          <t>- 판단기준의 '양호' 조건은 암호화되지 않은 FTP 서비스가 비활성화된 경우임
- 점검내용 원시 라인 '대상 서비스(vsftpd proftpd pure-ftpd) 구동: 비활성'에서 평문 FTP 서비스 3종이 모두 구동되지 않음(비활성)을 확인
- 활성 상태인 평문 FTP 서비스가 없으므로 취약 조건(활성화)에 해당하지 않아 '양호'로 판정</t>
        </is>
      </c>
      <c r="H59" s="14" t="inlineStr">
        <is>
          <t>양호</t>
        </is>
      </c>
      <c r="I59" s="2" t="inlineStr">
        <is>
          <t>- 판단기준의 '양호' 조건은 암호화되지 않은 FTP 서비스가 비활성화된 경우이며, 점검내용에서 대상 서비스(vsftpd, proftpd, pure-ftpd) 구동 상태가 '비활성'으로 확인됨
- 활성화된 평문 FTP 서비스가 식별되지 않아 취약 조건(암호화되지 않은 FTP 활성)에 해당하지 않음</t>
        </is>
      </c>
    </row>
    <row r="60">
      <c r="B60" s="15" t="n"/>
      <c r="C60" s="9" t="inlineStr">
        <is>
          <t>U-55</t>
        </is>
      </c>
      <c r="D60" s="2" t="inlineStr">
        <is>
          <t>FTP 계정 Shell 제한</t>
        </is>
      </c>
      <c r="E60" s="2" t="inlineStr">
        <is>
          <t>양호 : FTP 계정에 /bin/false(/sbin/nologin) 쉘이 부여된 경우
취약 : FTP 계정에 /bin/false(/sbin/nologin) 쉘이 부여되어 있지 않은 경우</t>
        </is>
      </c>
      <c r="F60" s="14" t="inlineStr">
        <is>
          <t>양호</t>
        </is>
      </c>
      <c r="G60" s="2" t="inlineStr">
        <is>
          <t>- 판단기준은 FTP 계정에 /bin/false(/sbin/nologin) 쉘 부여 여부를 점검하는 항목임
- 점검내용(로우데이터)에 'ftp 계정 없음'으로 확인되어, /etc/passwd 상 점검 대상이 되는 FTP 계정 자체가 존재하지 않음
- 점검 대상 계정이 없어 이 항목은 진단대상에 해당하지 않으므로 N/A로 판정함</t>
        </is>
      </c>
      <c r="H60" s="14" t="inlineStr">
        <is>
          <t>양호</t>
        </is>
      </c>
      <c r="I60" s="2" t="inlineStr">
        <is>
          <t>- 판단기준은 FTP 계정에 /bin/false(/sbin/nologin) 쉘 부여 여부를 점검하나, 점검내용(로우데이터)에 'ftp 계정 없음'으로 명시됨
- /etc/passwd 내 ftp 계정 자체가 존재하지 않아 쉘 제한을 적용할 점검 대상이 부재함
- 점검 대상 계정이 없는 경우에 해당하므로 양호/취약이 아닌 N/A로 판정</t>
        </is>
      </c>
    </row>
    <row r="61">
      <c r="B61" s="15" t="n"/>
      <c r="C61" s="9" t="inlineStr">
        <is>
          <t>U-56</t>
        </is>
      </c>
      <c r="D61" s="2" t="inlineStr">
        <is>
          <t>FTP 서비스 접근 제어 설정</t>
        </is>
      </c>
      <c r="E61" s="2" t="inlineStr">
        <is>
          <t>양호 : 특정 IP주소 또는 호스트에서만 FTP 서버에 접속할 수 있도록 접근 제어 설정을 적용한 경우
취약 : FTP 서버에 접근 제어 설정을 적용하지 않은 경우</t>
        </is>
      </c>
      <c r="F61" s="14" t="inlineStr">
        <is>
          <t>양호</t>
        </is>
      </c>
      <c r="G61" s="2" t="inlineStr">
        <is>
          <t>- 판단기준은 'FTP 서버'에 대한 접근 제어 설정 여부를 점검하는 항목으로, FTP 서비스가 구동 중일 때 적용 대상이 됨
- 점검내용(로우데이터)에서 대상 서비스(vsftpd proftpd) 구동 상태가 '비활성'으로 확인되어 FTP 서버 자체가 동작하지 않음
- FTP 서비스가 구동되지 않아 접근 제어 설정의 점검 대상이 존재하지 않으므로 '점검 대상 아님'에 해당하여 N/A로 판정</t>
        </is>
      </c>
      <c r="H61" s="14" t="inlineStr">
        <is>
          <t>양호</t>
        </is>
      </c>
      <c r="I61" s="2" t="inlineStr">
        <is>
          <t>- 판단기준은 FTP 서버에 특정 IP/호스트 기반 접근 제어 설정 적용 여부를 점검하는 항목임
- 점검내용(로우데이터)상 대상 서비스(vsftpd, proftpd) 구동 상태가 '비활성'으로 확인되어 FTP 서비스가 동작하지 않음
- FTP 서비스가 구동되지 않으므로 접근 제어 설정 점검 대상 자체가 존재하지 않아 '점검 대상 아님'에 해당함
- 따라서 본 항목은 N/A로 판정함</t>
        </is>
      </c>
    </row>
    <row r="62">
      <c r="B62" s="15" t="n"/>
      <c r="C62" s="9" t="inlineStr">
        <is>
          <t>U-57</t>
        </is>
      </c>
      <c r="D62" s="2" t="inlineStr">
        <is>
          <t>Ftpusers 파일 설정</t>
        </is>
      </c>
      <c r="E62" s="2" t="inlineStr">
        <is>
          <t>양호 : root 계정 접속을 차단한 경우
취약 : root 계정 접속을 허용한 경우</t>
        </is>
      </c>
      <c r="F62" s="14" t="inlineStr">
        <is>
          <t>양호</t>
        </is>
      </c>
      <c r="G62" s="2" t="inlineStr">
        <is>
          <t>- 판단기준은 /etc/ftpusers 파일에서 root 계정 접속 차단(양호)/허용(취약) 여부를 점검하는 것이나, 점검내용상 대상 서비스(vsftpd, proftpd)가 모두 '비활성' 상태로 FTP 서비스가 구동되지 않음
- 점검내용에 '(ftpusers 파일 없음)'으로 명시되어 점검 대상 파일 자체가 존재하지 않아 root 접속 허용/차단을 판정할 근거가 없음
- FTP 서비스 미사용·미구동 환경으로 본 항목은 점검 대상에 해당하지 않으므로 N/A로 판정함</t>
        </is>
      </c>
      <c r="H62" s="14" t="inlineStr">
        <is>
          <t>양호</t>
        </is>
      </c>
      <c r="I62" s="2" t="inlineStr">
        <is>
          <t>- 판단기준은 /etc/ftpusers 에 root 계정 접속 차단 여부(양호: 차단, 취약: 허용)를 점검하는 항목임
- 점검내용 라인 '대상 서비스(vsftpd proftpd) 구동: 비활성' 에서 FTP 서비스 자체가 동작하지 않음을 확인 — root FTP 접속 위험이 성립하지 않음
- 점검내용 라인 '(ftpusers 파일 없음)' 으로 점검 대상 파일 자체가 존재하지 않음 — FTP 서비스 미사용에 따른 자연스러운 상태임
- FTP 서비스가 비활성이고 점검 대상 파일도 없어 이 항목은 점검 대상이 아니므로 N/A 로 판정</t>
        </is>
      </c>
    </row>
    <row r="63">
      <c r="B63" s="15" t="n"/>
      <c r="C63" s="9" t="inlineStr">
        <is>
          <t>U-58</t>
        </is>
      </c>
      <c r="D63" s="2" t="inlineStr">
        <is>
          <t>불필요한 SNMP 서비스 구동 점검</t>
        </is>
      </c>
      <c r="E63" s="2" t="inlineStr">
        <is>
          <t>양호 : SNMP 서비스를 사용하지 않는 경우
취약 : SNMP 서비스를 사용하는 경우</t>
        </is>
      </c>
      <c r="F63" s="14" t="inlineStr">
        <is>
          <t>양호</t>
        </is>
      </c>
      <c r="G63" s="2" t="inlineStr">
        <is>
          <t>- 판단기준은 SNMP 서비스를 사용하지 않는 경우 '양호', 사용하는 경우 '취약'으로 규정함
- 점검내용 로우데이터에서 대상 서비스(snmpd snmp) 구동 상태가 '비활성'으로 확인됨
- SNMP 서비스가 구동되지 않으므로 불필요한 서비스 미사용 상태에 해당하여 양호로 판정함</t>
        </is>
      </c>
      <c r="H63" s="14" t="inlineStr">
        <is>
          <t>양호</t>
        </is>
      </c>
      <c r="I63" s="2" t="inlineStr">
        <is>
          <t>- 판단기준상 'SNMP 서비스를 사용하지 않는 경우' 양호인데, 점검내용 '대상 서비스(snmpd snmp) 구동: 비활성' 라인에서 snmpd/snmp 서비스가 모두 비활성으로 확인됨
- snmpd 데몬이 구동되지 않아 SNMP 서비스를 사용하지 않는 상태로, 불필요한 SNMP 서비스로 인한 보안 위협이 존재하지 않음
- 구동 중인 비표준/의심 SNMP 관련 프로세스가 점검내용에 나타나지 않음</t>
        </is>
      </c>
    </row>
    <row r="64">
      <c r="B64" s="15" t="n"/>
      <c r="C64" s="9" t="inlineStr">
        <is>
          <t>U-59</t>
        </is>
      </c>
      <c r="D64" s="2" t="inlineStr">
        <is>
          <t>안전한 SNMP 버전 사용</t>
        </is>
      </c>
      <c r="E64" s="2" t="inlineStr">
        <is>
          <t>양호 : SNMP 서비스를 v3 이상으로 사용하는 경우
취약 : SNMP 서비스를 v2 이하로 사용하는 경우</t>
        </is>
      </c>
      <c r="F64" s="14" t="inlineStr">
        <is>
          <t>양호</t>
        </is>
      </c>
      <c r="G64" s="2" t="inlineStr">
        <is>
          <t>- 판단기준은 SNMP 서비스를 v3 이상으로 사용하면 양호, v2 이하로 사용하면 취약으로 규정하므로 SNMP 서비스가 실제 구동 중인 경우에만 버전 점검 대상이 됨
- 점검내용 원시 라인 '대상 서비스(snmpd) 구동: 비활성'에 따라 snmpd 데몬이 구동되지 않아 SNMP 서비스 자체가 동작하지 않음
- SNMP 서비스가 비활성 상태로 버전(v2/v3) 사용 여부를 판정할 대상이 존재하지 않으므로 점검 대상 아님(N/A)에 해당함</t>
        </is>
      </c>
      <c r="H64" s="14" t="inlineStr">
        <is>
          <t>양호</t>
        </is>
      </c>
      <c r="I64" s="2" t="inlineStr">
        <is>
          <t>- 판단기준은 SNMP 서비스가 v3 이상이면 양호, v2 이하면 취약으로 구분하나, 이는 SNMP 서비스가 구동 중일 때 적용되는 기준임
- 점검내용(로우데이터)에 '대상 서비스(snmpd) 구동: 비활성'으로 명시되어 SNMP 서비스 자체가 동작하지 않음
- SNMP 서비스가 비활성이므로 사용 중인 버전 자체가 존재하지 않아 v2/v3 판정 대상이 아님 → 점검 대상이 아니므로 N/A</t>
        </is>
      </c>
    </row>
    <row r="65">
      <c r="B65" s="15" t="n"/>
      <c r="C65" s="9" t="inlineStr">
        <is>
          <t>U-60</t>
        </is>
      </c>
      <c r="D65" s="2" t="inlineStr">
        <is>
          <t>SNMP Community String 복잡성 설정</t>
        </is>
      </c>
      <c r="E65" s="2" t="inlineStr">
        <is>
          <t>양호 : SNMP Community String 기본값인 “public”, “private”이 아닌 영문자, 숫자 포함 10자리 이상 또는 영문자, 숫자, 특수문자 포함 8자리 이상인 경우
취약 : 아래의 내용 중 하나라도 해당되는 경우</t>
        </is>
      </c>
      <c r="F65" s="14" t="inlineStr">
        <is>
          <t>양호</t>
        </is>
      </c>
      <c r="G65" s="2" t="inlineStr">
        <is>
          <t>- 판단기준은 SNMP Community String이 기본값(public/private)이거나 복잡성(영문+숫자 10자리 이상, 또는 영문+숫자+특수문자 8자리 이상)을 만족하지 못할 경우 취약으로 본다.
- 점검내용(로우데이터)상 대상 서비스(snmpd) 구동 상태가 '비활성'으로, SNMP 서비스 자체가 동작하지 않는다.
- SNMP 서비스가 미구동 상태이므로 Community String을 통한 정보 노출·악용 위험이 존재하지 않아 양호로 판정한다.
- 다만 향후 snmpd를 활성화할 경우 기본값(public/private) 사용 금지 및 복잡성 기준 충족이 필요하다.</t>
        </is>
      </c>
      <c r="H65" s="14" t="inlineStr">
        <is>
          <t>양호</t>
        </is>
      </c>
      <c r="I65" s="2" t="inlineStr">
        <is>
          <t>- 판단기준은 SNMP Community String의 복잡성(기본값 public/private 여부, 자릿수, 문자 구성)을 점검 대상으로 한다.
- 점검내용 로우데이터에서 대상 서비스(snmpd) 구동 상태가 '비활성'으로 확인되어 SNMP 서비스가 동작하지 않는다.
- snmpd가 구동되지 않으므로 Community String 점검 대상 자체가 존재하지 않아 '점검 대상 아님'에 해당하여 N/A로 판정한다.</t>
        </is>
      </c>
    </row>
    <row r="66">
      <c r="B66" s="15" t="n"/>
      <c r="C66" s="9" t="inlineStr">
        <is>
          <t>U-61</t>
        </is>
      </c>
      <c r="D66" s="2" t="inlineStr">
        <is>
          <t>SNMP Access Control 설정</t>
        </is>
      </c>
      <c r="E66" s="2" t="inlineStr">
        <is>
          <t>양호 : SNMP 서비스에 접근 제어 설정이 되어 있는 경우
취약 : SNMP 서비스에 접근 제어 설정이 되어 있지 않은 경우</t>
        </is>
      </c>
      <c r="F66" s="14" t="inlineStr">
        <is>
          <t>양호</t>
        </is>
      </c>
      <c r="G66" s="2" t="inlineStr">
        <is>
          <t>- 판단기준은 SNMP 서비스 사용 시 접근 제어 설정 여부로 양호/취약을 구분함
- 점검내용 원시 라인 '대상 서비스(snmpd) 구동: 비활성'에서 SNMP 데몬(snmpd)이 실행되지 않음이 확인됨
- SNMP 서비스가 미구동(비활성) 상태이므로 외부에서 SNMP를 통한 정보 노출 위험이 없어 접근 제어 미설정으로 인한 취약점이 성립하지 않음
- 따라서 KISA 기준상 SNMP 서비스 미사용에 해당하여 '양호'로 판정</t>
        </is>
      </c>
      <c r="H66" s="14" t="inlineStr">
        <is>
          <t>양호</t>
        </is>
      </c>
      <c r="I66" s="2" t="inlineStr">
        <is>
          <t>- 판단기준은 SNMP 서비스에 접근 제어 설정이 되어 있어야 양호로 본다.
- 점검내용 라인 '대상 서비스(snmpd) 구동: 비활성'에서 snmpd 서비스가 구동되지 않음을 확인했다.
- SNMP 서비스 자체가 비활성 상태이므로 SNMP를 통한 정보 노출 위험이 없어 접근 제어 미설정으로 인한 취약 요인이 존재하지 않는다.</t>
        </is>
      </c>
    </row>
    <row r="67">
      <c r="B67" s="15" t="n"/>
      <c r="C67" s="9" t="inlineStr">
        <is>
          <t>U-62</t>
        </is>
      </c>
      <c r="D67" s="2" t="inlineStr">
        <is>
          <t>로그인 시 경고 메시지 설정</t>
        </is>
      </c>
      <c r="E67" s="2" t="inlineStr">
        <is>
          <t>양호 : 서버 및 Telnet, FTP, SMTP, DNS 서비스에 로그온 시 경고 메시지가 설정된 경우
취약 : 서버 및 Telnet, FTP, SMTP, DNS 서비스에 로그온 시 경고 메시지가 설정되어 있지 않은 경우</t>
        </is>
      </c>
      <c r="F67" s="14" t="inlineStr">
        <is>
          <t>양호</t>
        </is>
      </c>
      <c r="G67" s="2" t="inlineStr">
        <is>
          <t>- 판단기준은 서버 및 서비스 로그온 시 경고 메시지 설정 여부인데, /etc/issue 및 /etc/issue.net에 경고 메시지 내용(********************************************************************************)이 설정되어 있어 로컬/원격 로그인 시 배너가 표시됨
- SSH 서비스의 경우 /etc/ssh/sshd_config에 'Banner /etc/issue.net'이 명시되어 있어 SSH 접속 시 경고 메시지 배너가 출력되도록 설정되어 있음
- /etc/motd는 비어 있으나 issue/issue.net 및 sshd_config Banner 설정이 갖춰져 있으므로 경고 메시지 설정 조건을 충족함</t>
        </is>
      </c>
      <c r="H67" s="14" t="inlineStr">
        <is>
          <t>양호</t>
        </is>
      </c>
      <c r="I67" s="2" t="inlineStr">
        <is>
          <t>- 판단기준(서버 및 서비스 로그온 시 경고 메시지 설정)에 대해 /etc/issue 라인이 '********...'로 채워져 있어 콘솔/로컬 로그인 경고 메시지가 설정되어 있음
- 원격 로그인용 /etc/issue.net 라인도 '********...'로 내용이 채워져 있어 네트워크 로그인 경고 메시지가 설정되어 있음
- /etc/ssh/sshd_config 라인에 'Banner /etc/issue.net'이 설정되어 SSH 접속 시 경고 배너가 /etc/issue.net 내용으로 출력되도록 연결되어 있음
- /etc/motd는 비어 있으나 issue/issue.net 및 sshd Banner로 로그온 경고 메시지가 이미 설정되어 있으므로 판정에 영향을 주지 않음</t>
        </is>
      </c>
    </row>
    <row r="68">
      <c r="B68" s="15" t="n"/>
      <c r="C68" s="9" t="inlineStr">
        <is>
          <t>U-63</t>
        </is>
      </c>
      <c r="D68" s="2" t="inlineStr">
        <is>
          <t>sudo 명령어 접근 관리</t>
        </is>
      </c>
      <c r="E68" s="2" t="inlineStr">
        <is>
          <t>양호 : /etc/sudoers 파일 소유자가 root이고, 파일 권한이 640인 경우
취약 : /etc/sudoers 파일 소유자가 root가 아니거나, 파일 권한이 640을 초과하는 경우</t>
        </is>
      </c>
      <c r="F68" s="14" t="inlineStr">
        <is>
          <t>양호</t>
        </is>
      </c>
      <c r="G68" s="2" t="inlineStr">
        <is>
          <t>- 판단기준의 소유자 조건(root) ↔ 점검내용 'root:root'로 소유자/그룹 모두 root임을 확인
- 판단기준의 권한 조건(640 이하) ↔ 점검내용 '-r--r----- (440)'로 권한이 440임
- 권한 칸별 비교: owner 4⊆6, group 4⊆4, other 0⊆0 으로 640을 초과하지 않음(other 읽기 초과 없음)
- 소유자 root + 권한 440(640 이하) 충족으로 양호 판정</t>
        </is>
      </c>
      <c r="H68" s="14" t="inlineStr">
        <is>
          <t>양호</t>
        </is>
      </c>
      <c r="I68" s="2" t="inlineStr">
        <is>
          <t>- 판단기준의 '소유자 root' 조건 ↔ 점검내용 라인 'root:root'의 소유자가 root로 일치함
- 판단기준의 '권한 640 이하(640 초과 시 취약)' 조건 ↔ 점검내용 라인 '-r--r----- (440)'로, 칸별 비교 시 owner r(4)≤rw(6), group r(4)≤r(4), other ---(0)≤---(0) 으로 모두 640의 부분집합이며 640을 초과하지 않음
- 소유자가 root이고 권한 440이 640을 초과하지 않으므로 양호로 판정함</t>
        </is>
      </c>
    </row>
    <row r="69">
      <c r="B69" s="9" t="inlineStr">
        <is>
          <t>패치 관리</t>
        </is>
      </c>
      <c r="C69" s="9" t="inlineStr">
        <is>
          <t>U-64</t>
        </is>
      </c>
      <c r="D69" s="2" t="inlineStr">
        <is>
          <t>주기적 보안 패치 및 벤더 권고사항 적용</t>
        </is>
      </c>
      <c r="E69" s="2" t="inlineStr">
        <is>
          <t>양호 : 패치 적용 정책을 수립하여 주기적으로 패치 관리를 하고 있으며, 패치 관련 내용을 확인하고 적용하였을 경우
취약 : 패치 적용 정책을 수립하지 않고 주기적으로 패치 관리를 하지 않거나, 패치 관련 내용을 확인하지 않고 적용하지 않고 있는 경우</t>
        </is>
      </c>
      <c r="F69" s="14" t="inlineStr">
        <is>
          <t>양호</t>
        </is>
      </c>
      <c r="G69" s="2" t="inlineStr">
        <is>
          <t>- 판단기준의 '패치 관련 내용을 확인하고 적용하였을 경우(양호)' ↔ 점검내용의 '현재 커널: 6.1.170-213.321.amzn2023.x86_64' 와 '기준(최신) 패치 버전: 6.1.170-213.321.amzn2023.x86_64' 가 완전히 일치하여 최신 패치가 적용된 상태임
- 판단기준의 '주기적으로 패치 관리를 하지 않거나 적용하지 않는 경우(취약)' 에 해당하지 않음 ↔ 점검내용의 '적용 대기 업데이트(dnf): 0개' 로 미적용된 보안 패치가 존재하지 않음
- 현재 커널 버전과 최신 기준 버전 간 차이가 없고 대기 중인 업데이트도 0개이므로 벤더 권고 최신 패치가 모두 반영된 것으로 확인됨</t>
        </is>
      </c>
      <c r="H69" s="14" t="inlineStr">
        <is>
          <t>양호</t>
        </is>
      </c>
      <c r="I69" s="2" t="inlineStr">
        <is>
          <t>- 판단기준의 '패치 관련 내용을 확인하고 적용하였을 경우(양호)' 조건에 대응하여, 점검내용의 '현재 커널: 6.1.170-213.321.amzn2023.x86_64'와 '기준(최신) 패치 버전: 6.1.170-213.321.amzn2023.x86_64'가 완전히 일치함
- 점검내용의 '적용 대기 업데이트(dnf): 0개' 라인으로 보아 미적용 패치가 존재하지 않아 최신 상태로 유지되고 있음
- 최신 커널 버전 적용 및 대기 업데이트 0개 상태는 주기적 패치 관리가 이루어지고 있음을 의미하므로 '취약' 조건(최신 패치 미적용)에 해당하지 않음</t>
        </is>
      </c>
    </row>
    <row r="70">
      <c r="B70" s="9" t="inlineStr">
        <is>
          <t>로그 관리</t>
        </is>
      </c>
      <c r="C70" s="9" t="inlineStr">
        <is>
          <t>U-65</t>
        </is>
      </c>
      <c r="D70" s="2" t="inlineStr">
        <is>
          <t>NTP 및 시각 동기화 설정</t>
        </is>
      </c>
      <c r="E70" s="2" t="inlineStr">
        <is>
          <t>양호 : NTP 및 시각 동기화 설정이 기준에 따라 적용된 경우
취약 : NTP 및 시각 동기화 설정이 기준에 따라 적용되어 있지 않은 경우</t>
        </is>
      </c>
      <c r="F70" s="14" t="inlineStr">
        <is>
          <t>양호</t>
        </is>
      </c>
      <c r="G70" s="2" t="inlineStr">
        <is>
          <t>- 판단기준의 'NTP 및 시각 동기화 설정이 기준에 따라 적용된 경우(양호)'에 대응하여, 점검내용의 '시각 동기화 서비스: 구동중=[chronyd]' 라인에서 시각 동기화 데몬(chronyd)이 정상 구동 중임을 확인함
- 점검내용의 'System clock synchronized: yes' 라인을 통해 시스템 클록이 실제로 NTP 서버와 동기화 완료된 상태임을 확인함
- 점검내용의 'NTP service: active' 라인을 통해 NTP 서비스가 활성(active) 상태로 동작 중임을 확인함
- 구동/동기화/활성 세 가지 결정론적 사실이 모두 정상 값을 가지므로 기준에 따라 시각 동기화 설정이 적용된 것으로 판정(양호), 이상치 없음</t>
        </is>
      </c>
      <c r="H70" s="14" t="inlineStr">
        <is>
          <t>양호</t>
        </is>
      </c>
      <c r="I70" s="2" t="inlineStr">
        <is>
          <t>- 판단기준(NTP 및 시각 동기화 설정이 기준에 따라 적용)이 충족됨: 점검내용의 '시각 동기화 서비스: 구동중=[chronyd]' 라인에서 표준 시각 동기화 데몬(chronyd)이 실제 구동 중임을 확인.
- 'System clock synchronized: yes' 라인으로 시스템 클럭이 외부 NTP 소스와 실제 동기화된 상태임을 확인.
- 'NTP service: active' 라인으로 NTP 서비스가 active(활성) 상태임을 확인.
- 세 항목(서비스 구동·동기화 완료·서비스 활성)이 모두 충족되어 이상치 없음 — 따라서 양호로 판정.</t>
        </is>
      </c>
    </row>
    <row r="71">
      <c r="B71" s="15" t="n"/>
      <c r="C71" s="9" t="inlineStr">
        <is>
          <t>U-66</t>
        </is>
      </c>
      <c r="D71" s="2" t="inlineStr">
        <is>
          <t>정책에 따른 시스템 로깅 설정</t>
        </is>
      </c>
      <c r="E71" s="2" t="inlineStr">
        <is>
          <t>양호 : 로그 기록 정책이 보안 정책에 따라 설정되어 수립되어 있으며, 로그를 남기고 있는 경우
취약 : 로그 기록 정책 미수립 또는 정책에 따라 설정되어 있지 않거나, 로그를 남기고 있지 않은 경우</t>
        </is>
      </c>
      <c r="F71" s="14" t="inlineStr">
        <is>
          <t>양호</t>
        </is>
      </c>
      <c r="G71" s="2" t="inlineStr">
        <is>
          <t>- 판단기준의 '로깅 서비스 구동 및 로그 기록' 조건 ↔ 점검내용 '로깅 서비스 구동중(rsyslog/journald)' 라인 일치로, 로깅 데몬이 정상 동작 중임이 확인됨
- 판단기준의 '로그 기록 정책 수립' 조건 ↔ 점검내용 'rsyslog.conf 규칙: 14개' 라인 일치로, rsyslog.conf에 14개의 로깅 규칙이 설정되어 정책에 따른 로그 기록이 이루어지고 있음
- 로깅 서비스 미구동 또는 정책 미수립 등 취약 조건에 해당하는 라인이 점검내용에 없으므로 '양호'로 판정</t>
        </is>
      </c>
      <c r="H71" s="14" t="inlineStr">
        <is>
          <t>양호</t>
        </is>
      </c>
      <c r="I71" s="2" t="inlineStr">
        <is>
          <t>- 판단기준의 '로그를 남기고 있는 경우' ↔ 점검내용 '로깅 서비스 구동중(rsyslog/journald)' 라인으로 로깅 서비스가 정상 구동 중임을 확인함
- 판단기준의 '로그 기록 정책이 보안 정책에 따라 설정되어 수립' ↔ 점검내용 'rsyslog.conf 규칙: 14개' 라인으로 로깅 규칙이 14개 수립되어 있어 정책이 설정되어 있음을 확인함
- 로깅 서비스 미구동 또는 정책 미수립(규칙 0개) 등 '취약' 조건에 해당하는 이상치가 발견되지 않음</t>
        </is>
      </c>
    </row>
    <row r="72">
      <c r="B72" s="15" t="n"/>
      <c r="C72" s="9" t="inlineStr">
        <is>
          <t>U-67</t>
        </is>
      </c>
      <c r="D72" s="2" t="inlineStr">
        <is>
          <t>로그 디렉터리 및 파일 권한 설정</t>
        </is>
      </c>
      <c r="E72" s="2" t="inlineStr">
        <is>
          <t>양호 : 디렉터리 내 로그 파일의 소유자가 root이고, 권한이 644 이하인 경우
취약 : 디렉터리 내 로그 파일의 소유자가 root가 아니거나, 권한이 644를 초과하는 경우</t>
        </is>
      </c>
      <c r="F72" s="14" t="inlineStr">
        <is>
          <t>양호</t>
        </is>
      </c>
      <c r="G72" s="2" t="inlineStr">
        <is>
          <t>- 판단기준은 '디렉터리 내 로그 파일의 소유자가 root이고 권한이 644 이하'를 양호로 규정함
- /var/log/messages 는 'root:root' 소유, 권한 600(rw-------)으로 소유자 root·644 이하 조건 충족
- /var/log/secure 는 'root:root' 소유, 권한 600(rw-------)으로 소유자 root·644 이하 조건 충족
- /var/log/wtmp 는 소유자 root(그룹 utmp), 권한 644(rw-r--r--)로 소유자 root이며 권한이 644 이하(=644) 조건 충족
- 소유자가 root가 아니거나 644를 초과하는 비표준 이상치 파일이 발견되지 않아 취약 사유 없음</t>
        </is>
      </c>
      <c r="H72" s="14" t="inlineStr">
        <is>
          <t>양호</t>
        </is>
      </c>
      <c r="I72" s="2" t="inlineStr">
        <is>
          <t>- 판단기준은 '소유자 root + 권한 644 이하'이며, /var/log/messages 는 root:root 소유에 권한 600(644 이하)으로 두 조건을 모두 충족
- /var/log/secure 도 root:root 소유에 권한 600(644 이하)으로 양호 조건 충족
- /var/log/wtmp 는 root:utmp 소유로 그룹이 utmp이나 판단기준의 핵심인 '소유자'는 root이며, 권한도 644로 '644 이하' 경계 내에 포함되어 충족(644 비교: owner rw-, group r--, other r-- 모두 644 칸별 부분집합)
- 나열된 3개 파일 모두 소유자 root, 권한 644 이하로 644를 초과하거나 소유자가 root가 아닌 이상치 항목이 없음</t>
        </is>
      </c>
    </row>
  </sheetData>
  <mergeCells count="13">
    <mergeCell ref="B70:B72"/>
    <mergeCell ref="H3:H5"/>
    <mergeCell ref="B39:B68"/>
    <mergeCell ref="B2:I2"/>
    <mergeCell ref="C3:C5"/>
    <mergeCell ref="G3:G5"/>
    <mergeCell ref="E3:E5"/>
    <mergeCell ref="B6:B18"/>
    <mergeCell ref="F3:F5"/>
    <mergeCell ref="D3:D5"/>
    <mergeCell ref="B3:B5"/>
    <mergeCell ref="B19:B38"/>
    <mergeCell ref="I3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2026-06-29T06:40:27Z</dcterms:created>
  <dcterms:modified xsi:type="dcterms:W3CDTF">2026-06-29T06:40:27Z</dcterms:modified>
</cp:coreProperties>
</file>