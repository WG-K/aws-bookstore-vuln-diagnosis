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표지" sheetId="1" state="visible" r:id="rId1"/>
    <sheet name="1. 진단 대상" sheetId="2" state="visible" r:id="rId2"/>
    <sheet name="2-1. 요약결과(그래프)" sheetId="3" state="visible" r:id="rId3"/>
    <sheet name="2-2. 요약 진단결과" sheetId="4" state="visible" r:id="rId4"/>
    <sheet name="3-1. 진단 결과"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font>
    <font>
      <b val="1"/>
      <sz val="28"/>
    </font>
    <font>
      <b val="1"/>
      <sz val="16"/>
    </font>
    <font>
      <sz val="12"/>
    </font>
    <font>
      <b val="1"/>
      <color rgb="00FFFFFF"/>
    </font>
    <font>
      <b val="1"/>
      <sz val="12"/>
    </font>
    <font>
      <b val="1"/>
      <sz val="13"/>
    </font>
  </fonts>
  <fills count="7">
    <fill>
      <patternFill/>
    </fill>
    <fill>
      <patternFill patternType="gray125"/>
    </fill>
    <fill>
      <patternFill patternType="solid">
        <fgColor rgb="001F4E78"/>
      </patternFill>
    </fill>
    <fill>
      <patternFill patternType="solid">
        <fgColor rgb="00DED9C4"/>
      </patternFill>
    </fill>
    <fill>
      <patternFill patternType="solid">
        <fgColor rgb="00E2EFDA"/>
      </patternFill>
    </fill>
    <fill>
      <patternFill patternType="solid">
        <fgColor rgb="00EDEDED"/>
      </patternFill>
    </fill>
    <fill>
      <patternFill patternType="solid">
        <fgColor rgb="00FCE4E4"/>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pivotButton="0" quotePrefix="0" xfId="0"/>
    <xf numFmtId="0" fontId="5" fillId="2" borderId="1" applyAlignment="1" pivotButton="0" quotePrefix="0" xfId="0">
      <alignment horizontal="center" vertical="center" wrapText="1"/>
    </xf>
    <xf numFmtId="0" fontId="0" fillId="2" borderId="1" pivotButton="0" quotePrefix="0" xfId="0"/>
    <xf numFmtId="0" fontId="0"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3" borderId="1" pivotButton="0" quotePrefix="0" xfId="0"/>
    <xf numFmtId="164" fontId="0"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1"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plotArea>
      <radarChart>
        <radarStyle val="standard"/>
        <ser>
          <idx val="0"/>
          <order val="0"/>
          <tx>
            <strRef>
              <f>'2-1. 요약결과(그래프)'!C4</f>
            </strRef>
          </tx>
          <spPr>
            <a:ln w="28575">
              <a:solidFill>
                <a:srgbClr val="4472C4"/>
              </a:solidFill>
              <a:prstDash val="solid"/>
            </a:ln>
          </spPr>
          <marker>
            <symbol val="none"/>
            <spPr>
              <a:ln>
                <a:prstDash val="solid"/>
              </a:ln>
            </spPr>
          </marker>
          <cat>
            <numRef>
              <f>'2-1. 요약결과(그래프)'!$B$5:$B$8</f>
            </numRef>
          </cat>
          <val>
            <numRef>
              <f>'2-1. 요약결과(그래프)'!$C$5:$C$8</f>
            </numRef>
          </val>
        </ser>
        <axId val="10"/>
        <axId val="100"/>
      </rad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txPr>
          <a:bodyPr/>
          <a:p>
            <a:pPr>
              <a:defRPr sz="900">
                <a:solidFill>
                  <a:srgbClr val="BFBFBF"/>
                </a:solidFill>
              </a:defRPr>
            </a:pPr>
            <a:r>
              <a:t/>
            </a:r>
            <a:endParaRPr sz="900">
              <a:solidFill>
                <a:srgbClr val="BFBFBF"/>
              </a:solidFill>
            </a:endParaRPr>
          </a:p>
        </txPr>
        <crossAx val="10"/>
        <majorUnit val="0.2"/>
      </valAx>
    </plotArea>
    <plotVisOnly val="1"/>
    <dispBlanksAs val="gap"/>
  </chart>
</chartSpace>
</file>

<file path=xl/charts/chart2.xml><?xml version="1.0" encoding="utf-8"?>
<chartSpace xmlns:a="http://schemas.openxmlformats.org/drawingml/2006/main" xmlns="http://schemas.openxmlformats.org/drawingml/2006/chart">
  <chart>
    <plotArea>
      <layout>
        <manualLayout>
          <xMode val="edge"/>
          <yMode val="edge"/>
          <wMode val="factor"/>
          <hMode val="factor"/>
          <x val="0.22"/>
          <y val="0.06"/>
          <w val="0.5600000000000001"/>
          <h val="0.72"/>
        </manualLayout>
      </layout>
      <pieChart>
        <varyColors val="1"/>
        <ser>
          <idx val="0"/>
          <order val="0"/>
          <tx>
            <strRef>
              <f>'2-1. 요약결과(그래프)'!C27</f>
            </strRef>
          </tx>
          <spPr>
            <a:ln>
              <a:prstDash val="solid"/>
            </a:ln>
          </spPr>
          <cat>
            <numRef>
              <f>'2-1. 요약결과(그래프)'!$B$28:$B$30</f>
            </numRef>
          </cat>
          <val>
            <numRef>
              <f>'2-1. 요약결과(그래프)'!$C$28:$C$30</f>
            </numRef>
          </val>
        </ser>
        <firstSliceAng val="0"/>
      </pieChart>
    </plotArea>
    <legend>
      <legendPos val="b"/>
    </legend>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varyColors val="1"/>
        <ser>
          <idx val="0"/>
          <order val="0"/>
          <tx>
            <strRef>
              <f>'2-1. 요약결과(그래프)'!C50</f>
            </strRef>
          </tx>
          <spPr>
            <a:ln>
              <a:prstDash val="solid"/>
            </a:ln>
          </spPr>
          <cat>
            <numRef>
              <f>'2-1. 요약결과(그래프)'!$B$51:$B$54</f>
            </numRef>
          </cat>
          <val>
            <numRef>
              <f>'2-1. 요약결과(그래프)'!$C$51:$C$54</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5</col>
      <colOff>0</colOff>
      <row>3</row>
      <rowOff>0</rowOff>
    </from>
    <to>
      <col>11</col>
      <colOff>0</colOff>
      <row>22</row>
      <rowOff>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5</col>
      <colOff>0</colOff>
      <row>26</row>
      <rowOff>0</rowOff>
    </from>
    <to>
      <col>11</col>
      <colOff>0</colOff>
      <row>45</row>
      <rowOff>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5</col>
      <colOff>0</colOff>
      <row>49</row>
      <rowOff>0</rowOff>
    </from>
    <to>
      <col>11</col>
      <colOff>0</colOff>
      <row>68</row>
      <rowOff>0</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3:L18"/>
  <sheetViews>
    <sheetView showGridLines="0" workbookViewId="0">
      <selection activeCell="A1" sqref="A1"/>
    </sheetView>
  </sheetViews>
  <sheetFormatPr baseColWidth="8" defaultRowHeight="15"/>
  <cols>
    <col width="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13" customWidth="1" min="11" max="11"/>
    <col width="30" customWidth="1" min="12" max="12"/>
  </cols>
  <sheetData>
    <row r="3" ht="22" customHeight="1">
      <c r="K3" s="1" t="inlineStr">
        <is>
          <t>문서번호</t>
        </is>
      </c>
      <c r="L3" s="2" t="inlineStr">
        <is>
          <t>CHECKBANG-VA-2026-001</t>
        </is>
      </c>
    </row>
    <row r="4" ht="22" customHeight="1">
      <c r="K4" s="1" t="inlineStr">
        <is>
          <t>작성자</t>
        </is>
      </c>
      <c r="L4" s="2" t="inlineStr">
        <is>
          <t>취약점진단팀</t>
        </is>
      </c>
    </row>
    <row r="5" ht="22" customHeight="1">
      <c r="K5" s="1" t="inlineStr">
        <is>
          <t>보안등급</t>
        </is>
      </c>
      <c r="L5" s="2" t="inlineStr">
        <is>
          <t>Confidential</t>
        </is>
      </c>
    </row>
    <row r="6" ht="22" customHeight="1">
      <c r="K6" s="1" t="inlineStr">
        <is>
          <t>Ver</t>
        </is>
      </c>
      <c r="L6" s="2" t="inlineStr">
        <is>
          <t>ver 1.0</t>
        </is>
      </c>
    </row>
    <row r="11" ht="40" customHeight="1">
      <c r="B11" s="3" t="inlineStr">
        <is>
          <t>Check방 취약점 진단</t>
        </is>
      </c>
    </row>
    <row r="13" ht="30" customHeight="1">
      <c r="B13" s="4" t="inlineStr">
        <is>
          <t>취약점 진단 상세결과</t>
        </is>
      </c>
    </row>
    <row r="18">
      <c r="B18" s="5" t="inlineStr">
        <is>
          <t>2026-06-29</t>
        </is>
      </c>
    </row>
  </sheetData>
  <mergeCells count="3">
    <mergeCell ref="B13:L13"/>
    <mergeCell ref="B11:L11"/>
    <mergeCell ref="B18:L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showGridLines="0" workbookViewId="0">
      <selection activeCell="A1" sqref="A1"/>
    </sheetView>
  </sheetViews>
  <sheetFormatPr baseColWidth="8" defaultRowHeight="15"/>
  <cols>
    <col width="2" customWidth="1" min="1" max="1"/>
    <col width="23" customWidth="1" min="2" max="2"/>
    <col width="17" customWidth="1" min="3" max="3"/>
    <col width="14" customWidth="1" min="4" max="4"/>
    <col width="20" customWidth="1" min="5" max="5"/>
    <col width="6" customWidth="1" min="6" max="6"/>
    <col width="16" customWidth="1" min="7" max="7"/>
  </cols>
  <sheetData>
    <row r="1" ht="26" customHeight="1">
      <c r="B1" s="6" t="inlineStr">
        <is>
          <t xml:space="preserve">  ※ 진단 대상 리스트</t>
        </is>
      </c>
    </row>
    <row r="2">
      <c r="B2" s="7" t="inlineStr">
        <is>
          <t>순번</t>
        </is>
      </c>
      <c r="C2" s="7" t="inlineStr">
        <is>
          <t>진단 대상</t>
        </is>
      </c>
      <c r="D2" s="8" t="n"/>
      <c r="E2" s="8" t="n"/>
      <c r="F2" s="8" t="n"/>
      <c r="G2" s="7" t="inlineStr">
        <is>
          <t>비고</t>
        </is>
      </c>
    </row>
    <row r="3">
      <c r="B3" s="8" t="n"/>
      <c r="C3" s="7" t="inlineStr">
        <is>
          <t>Hostname</t>
        </is>
      </c>
      <c r="D3" s="7" t="inlineStr">
        <is>
          <t>IP Address</t>
        </is>
      </c>
      <c r="E3" s="7" t="inlineStr">
        <is>
          <t>버전정보</t>
        </is>
      </c>
      <c r="F3" s="7" t="inlineStr">
        <is>
          <t>용도</t>
        </is>
      </c>
      <c r="G3" s="8" t="n"/>
    </row>
    <row r="4" ht="24" customHeight="1">
      <c r="B4" s="9" t="n">
        <v>1</v>
      </c>
      <c r="C4" s="9" t="inlineStr">
        <is>
          <t>EC2AMAZ-305SBHT</t>
        </is>
      </c>
      <c r="D4" s="9" t="inlineStr">
        <is>
          <t>10.0.152.148</t>
        </is>
      </c>
      <c r="E4" s="9" t="inlineStr">
        <is>
          <t>Oracle 21.0.0.0</t>
        </is>
      </c>
      <c r="F4" s="9" t="inlineStr"/>
      <c r="G4" s="9" t="inlineStr">
        <is>
          <t>-</t>
        </is>
      </c>
    </row>
  </sheetData>
  <mergeCells count="3">
    <mergeCell ref="C2:F2"/>
    <mergeCell ref="G2:G3"/>
    <mergeCell ref="B2:B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54"/>
  <sheetViews>
    <sheetView showGridLines="0" workbookViewId="0">
      <selection activeCell="A1" sqref="A1"/>
    </sheetView>
  </sheetViews>
  <sheetFormatPr baseColWidth="8" defaultRowHeight="15"/>
  <cols>
    <col width="2" customWidth="1" min="1" max="1"/>
    <col width="16" customWidth="1" min="2" max="2"/>
    <col width="11" customWidth="1" min="3" max="3"/>
  </cols>
  <sheetData>
    <row r="2" ht="22" customHeight="1">
      <c r="F2" s="10" t="inlineStr">
        <is>
          <t>항목별 양호 비율</t>
        </is>
      </c>
      <c r="G2" s="11" t="n"/>
      <c r="H2" s="11" t="n"/>
      <c r="I2" s="11" t="n"/>
      <c r="J2" s="11" t="n"/>
      <c r="K2" s="11" t="n"/>
    </row>
    <row r="4">
      <c r="B4" s="7" t="inlineStr">
        <is>
          <t>진단 도메인</t>
        </is>
      </c>
      <c r="C4" s="7" t="inlineStr">
        <is>
          <t>평균 점수</t>
        </is>
      </c>
    </row>
    <row r="5">
      <c r="B5" s="9" t="inlineStr">
        <is>
          <t>계정 관리</t>
        </is>
      </c>
      <c r="C5" s="12">
        <f>'2-2. 요약 진단결과'!H6</f>
        <v/>
      </c>
    </row>
    <row r="6">
      <c r="B6" s="9" t="inlineStr">
        <is>
          <t>접근 관리</t>
        </is>
      </c>
      <c r="C6" s="12">
        <f>'2-2. 요약 진단결과'!H15</f>
        <v/>
      </c>
    </row>
    <row r="7">
      <c r="B7" s="9" t="inlineStr">
        <is>
          <t>옵션 관리</t>
        </is>
      </c>
      <c r="C7" s="12">
        <f>'2-2. 요약 진단결과'!H22</f>
        <v/>
      </c>
    </row>
    <row r="8">
      <c r="B8" s="9" t="inlineStr">
        <is>
          <t>패치 관리</t>
        </is>
      </c>
      <c r="C8" s="12">
        <f>'2-2. 요약 진단결과'!H30</f>
        <v/>
      </c>
    </row>
    <row r="25" ht="22" customHeight="1">
      <c r="F25" s="10" t="inlineStr">
        <is>
          <t>양호 / 취약 / N/A 비율</t>
        </is>
      </c>
      <c r="G25" s="11" t="n"/>
      <c r="H25" s="11" t="n"/>
      <c r="I25" s="11" t="n"/>
      <c r="J25" s="11" t="n"/>
      <c r="K25" s="11" t="n"/>
    </row>
    <row r="27">
      <c r="B27" s="7" t="inlineStr">
        <is>
          <t>상태</t>
        </is>
      </c>
      <c r="C27" s="7" t="inlineStr">
        <is>
          <t>개수</t>
        </is>
      </c>
    </row>
    <row r="28">
      <c r="B28" s="9" t="inlineStr">
        <is>
          <t>양호</t>
        </is>
      </c>
      <c r="C28" s="9">
        <f>SUM('2-2. 요약 진단결과'!J6:J31)</f>
        <v/>
      </c>
    </row>
    <row r="29">
      <c r="B29" s="9" t="inlineStr">
        <is>
          <t>취약</t>
        </is>
      </c>
      <c r="C29" s="9">
        <f>SUM('2-2. 요약 진단결과'!K6:K31)</f>
        <v/>
      </c>
    </row>
    <row r="30">
      <c r="B30" s="9" t="inlineStr">
        <is>
          <t>N/A</t>
        </is>
      </c>
      <c r="C30" s="9">
        <f>SUM('2-2. 요약 진단결과'!L6:L31)</f>
        <v/>
      </c>
    </row>
    <row r="48" ht="22" customHeight="1">
      <c r="F48" s="10" t="inlineStr">
        <is>
          <t>영역별 취약 수</t>
        </is>
      </c>
      <c r="G48" s="11" t="n"/>
      <c r="H48" s="11" t="n"/>
      <c r="I48" s="11" t="n"/>
      <c r="J48" s="11" t="n"/>
      <c r="K48" s="11" t="n"/>
    </row>
    <row r="50">
      <c r="B50" s="7" t="inlineStr">
        <is>
          <t>영역</t>
        </is>
      </c>
      <c r="C50" s="7" t="inlineStr">
        <is>
          <t>취약 수</t>
        </is>
      </c>
    </row>
    <row r="51">
      <c r="B51" s="9" t="inlineStr">
        <is>
          <t>계정 관리</t>
        </is>
      </c>
      <c r="C51" s="9">
        <f>SUM('2-2. 요약 진단결과'!K6:K14)</f>
        <v/>
      </c>
    </row>
    <row r="52">
      <c r="B52" s="9" t="inlineStr">
        <is>
          <t>접근 관리</t>
        </is>
      </c>
      <c r="C52" s="9">
        <f>SUM('2-2. 요약 진단결과'!K15:K21)</f>
        <v/>
      </c>
    </row>
    <row r="53">
      <c r="B53" s="9" t="inlineStr">
        <is>
          <t>옵션 관리</t>
        </is>
      </c>
      <c r="C53" s="9">
        <f>SUM('2-2. 요약 진단결과'!K22:K29)</f>
        <v/>
      </c>
    </row>
    <row r="54">
      <c r="B54" s="9" t="inlineStr">
        <is>
          <t>패치 관리</t>
        </is>
      </c>
      <c r="C54" s="9">
        <f>SUM('2-2. 요약 진단결과'!K30:K31)</f>
        <v/>
      </c>
    </row>
  </sheetData>
  <mergeCells count="3">
    <mergeCell ref="F2:K2"/>
    <mergeCell ref="F25:K25"/>
    <mergeCell ref="F48:K48"/>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3"/>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6" customWidth="1" min="3" max="3"/>
    <col width="60" customWidth="1" min="4" max="4"/>
    <col width="10" customWidth="1" min="5" max="5"/>
    <col width="14" customWidth="1" min="6" max="6"/>
    <col width="2.5" customWidth="1" min="7" max="7"/>
    <col width="12" customWidth="1" min="8" max="8"/>
    <col width="8" customWidth="1" min="9" max="9"/>
    <col width="8" customWidth="1" min="10" max="10"/>
    <col width="8" customWidth="1" min="11" max="11"/>
    <col width="8" customWidth="1" min="12" max="12"/>
  </cols>
  <sheetData>
    <row r="1"/>
    <row r="2" ht="28" customHeight="1">
      <c r="B2" s="13" t="inlineStr">
        <is>
          <t>Check방 취약점 진단 요약 진단결과 (26항목)</t>
        </is>
      </c>
    </row>
    <row r="3">
      <c r="B3" s="7" t="inlineStr">
        <is>
          <t>진단항목</t>
        </is>
      </c>
      <c r="C3" s="7" t="inlineStr">
        <is>
          <t>No.</t>
        </is>
      </c>
      <c r="D3" s="7" t="inlineStr">
        <is>
          <t>세부 진단항목</t>
        </is>
      </c>
      <c r="E3" s="7" t="inlineStr">
        <is>
          <t>중요도</t>
        </is>
      </c>
      <c r="F3" s="7" t="inlineStr">
        <is>
          <t>진단결과</t>
        </is>
      </c>
    </row>
    <row r="4">
      <c r="B4" s="8" t="n"/>
      <c r="C4" s="8" t="n"/>
      <c r="D4" s="8" t="n"/>
      <c r="E4" s="8" t="n"/>
      <c r="F4" s="7" t="inlineStr">
        <is>
          <t>DBMS(Oracle)</t>
        </is>
      </c>
    </row>
    <row r="5">
      <c r="B5" s="8" t="n"/>
      <c r="C5" s="8" t="n"/>
      <c r="D5" s="8" t="n"/>
      <c r="E5" s="8" t="n"/>
      <c r="F5" s="7" t="inlineStr">
        <is>
          <t>10.0.152.148</t>
        </is>
      </c>
      <c r="H5" s="7" t="inlineStr">
        <is>
          <t>영역별점수</t>
        </is>
      </c>
      <c r="I5" s="7" t="inlineStr">
        <is>
          <t>점수</t>
        </is>
      </c>
      <c r="J5" s="7" t="inlineStr">
        <is>
          <t>양호</t>
        </is>
      </c>
      <c r="K5" s="7" t="inlineStr">
        <is>
          <t>취약</t>
        </is>
      </c>
      <c r="L5" s="7" t="inlineStr">
        <is>
          <t>N/A</t>
        </is>
      </c>
    </row>
    <row r="6">
      <c r="B6" s="9" t="inlineStr">
        <is>
          <t>계정 관리</t>
        </is>
      </c>
      <c r="C6" s="9" t="inlineStr">
        <is>
          <t>D-01</t>
        </is>
      </c>
      <c r="D6" s="2" t="inlineStr">
        <is>
          <t>기본 계정의 비밀번호, 정책 등을 변경하여 사용</t>
        </is>
      </c>
      <c r="E6" s="9" t="inlineStr">
        <is>
          <t>상</t>
        </is>
      </c>
      <c r="F6" s="14" t="inlineStr">
        <is>
          <t>양호</t>
        </is>
      </c>
      <c r="H6" s="12">
        <f>IF(COUNTIF(I6:I14,"N/A")=COUNTA(I6:I14),"N/A",AVERAGE(I6:I14))</f>
        <v/>
      </c>
      <c r="I6" s="12">
        <f>IF(COUNTIF($F6:$F6,"N/A")=COUNTA($F6:$F6),"N/A",$J6/(COUNTA($F6:$F6)-$L6))</f>
        <v/>
      </c>
      <c r="J6" s="9">
        <f>COUNTIF($F6:$F6,"양호")</f>
        <v/>
      </c>
      <c r="K6" s="9">
        <f>COUNTIF($F6:$F6,"취약")</f>
        <v/>
      </c>
      <c r="L6" s="9">
        <f>COUNTIF($F6:$F6,"N/A")</f>
        <v/>
      </c>
    </row>
    <row r="7">
      <c r="B7" s="15" t="n"/>
      <c r="C7" s="9" t="inlineStr">
        <is>
          <t>D-02</t>
        </is>
      </c>
      <c r="D7" s="2" t="inlineStr">
        <is>
          <t>데이터베이스의 불필요 계정을 제거하거나, 잠금설정 후 사용</t>
        </is>
      </c>
      <c r="E7" s="9" t="inlineStr">
        <is>
          <t>상</t>
        </is>
      </c>
      <c r="F7" s="14" t="inlineStr">
        <is>
          <t>양호</t>
        </is>
      </c>
      <c r="H7" s="15" t="n"/>
      <c r="I7" s="12">
        <f>IF(COUNTIF($F7:$F7,"N/A")=COUNTA($F7:$F7),"N/A",$J7/(COUNTA($F7:$F7)-$L7))</f>
        <v/>
      </c>
      <c r="J7" s="9">
        <f>COUNTIF($F7:$F7,"양호")</f>
        <v/>
      </c>
      <c r="K7" s="9">
        <f>COUNTIF($F7:$F7,"취약")</f>
        <v/>
      </c>
      <c r="L7" s="9">
        <f>COUNTIF($F7:$F7,"N/A")</f>
        <v/>
      </c>
    </row>
    <row r="8">
      <c r="B8" s="15" t="n"/>
      <c r="C8" s="9" t="inlineStr">
        <is>
          <t>D-03</t>
        </is>
      </c>
      <c r="D8" s="2" t="inlineStr">
        <is>
          <t>비밀번호의 사용기간 및 복잡도를 기관의 정책에 맞도록 설정</t>
        </is>
      </c>
      <c r="E8" s="9" t="inlineStr">
        <is>
          <t>상</t>
        </is>
      </c>
      <c r="F8" s="14" t="inlineStr">
        <is>
          <t>양호</t>
        </is>
      </c>
      <c r="H8" s="15" t="n"/>
      <c r="I8" s="12">
        <f>IF(COUNTIF($F8:$F8,"N/A")=COUNTA($F8:$F8),"N/A",$J8/(COUNTA($F8:$F8)-$L8))</f>
        <v/>
      </c>
      <c r="J8" s="9">
        <f>COUNTIF($F8:$F8,"양호")</f>
        <v/>
      </c>
      <c r="K8" s="9">
        <f>COUNTIF($F8:$F8,"취약")</f>
        <v/>
      </c>
      <c r="L8" s="9">
        <f>COUNTIF($F8:$F8,"N/A")</f>
        <v/>
      </c>
    </row>
    <row r="9">
      <c r="B9" s="15" t="n"/>
      <c r="C9" s="9" t="inlineStr">
        <is>
          <t>D-04</t>
        </is>
      </c>
      <c r="D9" s="2" t="inlineStr">
        <is>
          <t>데이터베이스 관리자 권한을 꼭 필요한 계정 및 그룹에만 허용</t>
        </is>
      </c>
      <c r="E9" s="9" t="inlineStr">
        <is>
          <t>상</t>
        </is>
      </c>
      <c r="F9" s="14" t="inlineStr">
        <is>
          <t>양호</t>
        </is>
      </c>
      <c r="H9" s="15" t="n"/>
      <c r="I9" s="12">
        <f>IF(COUNTIF($F9:$F9,"N/A")=COUNTA($F9:$F9),"N/A",$J9/(COUNTA($F9:$F9)-$L9))</f>
        <v/>
      </c>
      <c r="J9" s="9">
        <f>COUNTIF($F9:$F9,"양호")</f>
        <v/>
      </c>
      <c r="K9" s="9">
        <f>COUNTIF($F9:$F9,"취약")</f>
        <v/>
      </c>
      <c r="L9" s="9">
        <f>COUNTIF($F9:$F9,"N/A")</f>
        <v/>
      </c>
    </row>
    <row r="10">
      <c r="B10" s="15" t="n"/>
      <c r="C10" s="9" t="inlineStr">
        <is>
          <t>D-05</t>
        </is>
      </c>
      <c r="D10" s="2" t="inlineStr">
        <is>
          <t>비밀번호 재사용에 대한 제약 설정</t>
        </is>
      </c>
      <c r="E10" s="9" t="inlineStr">
        <is>
          <t>중</t>
        </is>
      </c>
      <c r="F10" s="14" t="inlineStr">
        <is>
          <t>양호</t>
        </is>
      </c>
      <c r="H10" s="15" t="n"/>
      <c r="I10" s="12">
        <f>IF(COUNTIF($F10:$F10,"N/A")=COUNTA($F10:$F10),"N/A",$J10/(COUNTA($F10:$F10)-$L10))</f>
        <v/>
      </c>
      <c r="J10" s="9">
        <f>COUNTIF($F10:$F10,"양호")</f>
        <v/>
      </c>
      <c r="K10" s="9">
        <f>COUNTIF($F10:$F10,"취약")</f>
        <v/>
      </c>
      <c r="L10" s="9">
        <f>COUNTIF($F10:$F10,"N/A")</f>
        <v/>
      </c>
    </row>
    <row r="11">
      <c r="B11" s="15" t="n"/>
      <c r="C11" s="9" t="inlineStr">
        <is>
          <t>D-06</t>
        </is>
      </c>
      <c r="D11" s="2" t="inlineStr">
        <is>
          <t>DB 사용자 계정을 개별적으로 부여하여 사용</t>
        </is>
      </c>
      <c r="E11" s="9" t="inlineStr">
        <is>
          <t>중</t>
        </is>
      </c>
      <c r="F11" s="14" t="inlineStr">
        <is>
          <t>양호</t>
        </is>
      </c>
      <c r="H11" s="15" t="n"/>
      <c r="I11" s="12">
        <f>IF(COUNTIF($F11:$F11,"N/A")=COUNTA($F11:$F11),"N/A",$J11/(COUNTA($F11:$F11)-$L11))</f>
        <v/>
      </c>
      <c r="J11" s="9">
        <f>COUNTIF($F11:$F11,"양호")</f>
        <v/>
      </c>
      <c r="K11" s="9">
        <f>COUNTIF($F11:$F11,"취약")</f>
        <v/>
      </c>
      <c r="L11" s="9">
        <f>COUNTIF($F11:$F11,"N/A")</f>
        <v/>
      </c>
    </row>
    <row r="12">
      <c r="B12" s="15" t="n"/>
      <c r="C12" s="9" t="inlineStr">
        <is>
          <t>D-07</t>
        </is>
      </c>
      <c r="D12" s="2" t="inlineStr">
        <is>
          <t>root(관리자) 권한으로 서비스 구동 제한</t>
        </is>
      </c>
      <c r="E12" s="9" t="inlineStr">
        <is>
          <t>중</t>
        </is>
      </c>
      <c r="F12" s="14" t="inlineStr">
        <is>
          <t>양호</t>
        </is>
      </c>
      <c r="H12" s="15" t="n"/>
      <c r="I12" s="12">
        <f>IF(COUNTIF($F12:$F12,"N/A")=COUNTA($F12:$F12),"N/A",$J12/(COUNTA($F12:$F12)-$L12))</f>
        <v/>
      </c>
      <c r="J12" s="9">
        <f>COUNTIF($F12:$F12,"양호")</f>
        <v/>
      </c>
      <c r="K12" s="9">
        <f>COUNTIF($F12:$F12,"취약")</f>
        <v/>
      </c>
      <c r="L12" s="9">
        <f>COUNTIF($F12:$F12,"N/A")</f>
        <v/>
      </c>
    </row>
    <row r="13">
      <c r="B13" s="15" t="n"/>
      <c r="C13" s="9" t="inlineStr">
        <is>
          <t>D-08</t>
        </is>
      </c>
      <c r="D13" s="2" t="inlineStr">
        <is>
          <t>안전한 암호화 알고리즘 사용</t>
        </is>
      </c>
      <c r="E13" s="9" t="inlineStr">
        <is>
          <t>상</t>
        </is>
      </c>
      <c r="F13" s="14" t="inlineStr">
        <is>
          <t>양호</t>
        </is>
      </c>
      <c r="H13" s="15" t="n"/>
      <c r="I13" s="12">
        <f>IF(COUNTIF($F13:$F13,"N/A")=COUNTA($F13:$F13),"N/A",$J13/(COUNTA($F13:$F13)-$L13))</f>
        <v/>
      </c>
      <c r="J13" s="9">
        <f>COUNTIF($F13:$F13,"양호")</f>
        <v/>
      </c>
      <c r="K13" s="9">
        <f>COUNTIF($F13:$F13,"취약")</f>
        <v/>
      </c>
      <c r="L13" s="9">
        <f>COUNTIF($F13:$F13,"N/A")</f>
        <v/>
      </c>
    </row>
    <row r="14">
      <c r="B14" s="15" t="n"/>
      <c r="C14" s="9" t="inlineStr">
        <is>
          <t>D-09</t>
        </is>
      </c>
      <c r="D14" s="2" t="inlineStr">
        <is>
          <t>일정 횟수의 로그인 실패 시 잠금정책 설정</t>
        </is>
      </c>
      <c r="E14" s="9" t="inlineStr">
        <is>
          <t>중</t>
        </is>
      </c>
      <c r="F14" s="14" t="inlineStr">
        <is>
          <t>양호</t>
        </is>
      </c>
      <c r="H14" s="15" t="n"/>
      <c r="I14" s="12">
        <f>IF(COUNTIF($F14:$F14,"N/A")=COUNTA($F14:$F14),"N/A",$J14/(COUNTA($F14:$F14)-$L14))</f>
        <v/>
      </c>
      <c r="J14" s="9">
        <f>COUNTIF($F14:$F14,"양호")</f>
        <v/>
      </c>
      <c r="K14" s="9">
        <f>COUNTIF($F14:$F14,"취약")</f>
        <v/>
      </c>
      <c r="L14" s="9">
        <f>COUNTIF($F14:$F14,"N/A")</f>
        <v/>
      </c>
    </row>
    <row r="15">
      <c r="B15" s="9" t="inlineStr">
        <is>
          <t>접근 관리</t>
        </is>
      </c>
      <c r="C15" s="9" t="inlineStr">
        <is>
          <t>D-10</t>
        </is>
      </c>
      <c r="D15" s="2" t="inlineStr">
        <is>
          <t>원격에서 DB 서버로의 접속 제한</t>
        </is>
      </c>
      <c r="E15" s="9" t="inlineStr">
        <is>
          <t>상</t>
        </is>
      </c>
      <c r="F15" s="14" t="inlineStr">
        <is>
          <t>양호</t>
        </is>
      </c>
      <c r="H15" s="12">
        <f>IF(COUNTIF(I15:I21,"N/A")=COUNTA(I15:I21),"N/A",AVERAGE(I15:I21))</f>
        <v/>
      </c>
      <c r="I15" s="12">
        <f>IF(COUNTIF($F15:$F15,"N/A")=COUNTA($F15:$F15),"N/A",$J15/(COUNTA($F15:$F15)-$L15))</f>
        <v/>
      </c>
      <c r="J15" s="9">
        <f>COUNTIF($F15:$F15,"양호")</f>
        <v/>
      </c>
      <c r="K15" s="9">
        <f>COUNTIF($F15:$F15,"취약")</f>
        <v/>
      </c>
      <c r="L15" s="9">
        <f>COUNTIF($F15:$F15,"N/A")</f>
        <v/>
      </c>
    </row>
    <row r="16">
      <c r="B16" s="15" t="n"/>
      <c r="C16" s="9" t="inlineStr">
        <is>
          <t>D-11</t>
        </is>
      </c>
      <c r="D16" s="2" t="inlineStr">
        <is>
          <t>DBA 이외 인가되지 않은 사용자의 시스템 테이블 접근 제한</t>
        </is>
      </c>
      <c r="E16" s="9" t="inlineStr">
        <is>
          <t>상</t>
        </is>
      </c>
      <c r="F16" s="14" t="inlineStr">
        <is>
          <t>양호</t>
        </is>
      </c>
      <c r="H16" s="15" t="n"/>
      <c r="I16" s="12">
        <f>IF(COUNTIF($F16:$F16,"N/A")=COUNTA($F16:$F16),"N/A",$J16/(COUNTA($F16:$F16)-$L16))</f>
        <v/>
      </c>
      <c r="J16" s="9">
        <f>COUNTIF($F16:$F16,"양호")</f>
        <v/>
      </c>
      <c r="K16" s="9">
        <f>COUNTIF($F16:$F16,"취약")</f>
        <v/>
      </c>
      <c r="L16" s="9">
        <f>COUNTIF($F16:$F16,"N/A")</f>
        <v/>
      </c>
    </row>
    <row r="17">
      <c r="B17" s="15" t="n"/>
      <c r="C17" s="9" t="inlineStr">
        <is>
          <t>D-12</t>
        </is>
      </c>
      <c r="D17" s="2" t="inlineStr">
        <is>
          <t>안전한 리스너 비밀번호 설정 및 사용</t>
        </is>
      </c>
      <c r="E17" s="9" t="inlineStr">
        <is>
          <t>상</t>
        </is>
      </c>
      <c r="F17" s="16" t="inlineStr">
        <is>
          <t>N/A</t>
        </is>
      </c>
      <c r="H17" s="15" t="n"/>
      <c r="I17" s="12">
        <f>IF(COUNTIF($F17:$F17,"N/A")=COUNTA($F17:$F17),"N/A",$J17/(COUNTA($F17:$F17)-$L17))</f>
        <v/>
      </c>
      <c r="J17" s="9">
        <f>COUNTIF($F17:$F17,"양호")</f>
        <v/>
      </c>
      <c r="K17" s="9">
        <f>COUNTIF($F17:$F17,"취약")</f>
        <v/>
      </c>
      <c r="L17" s="9">
        <f>COUNTIF($F17:$F17,"N/A")</f>
        <v/>
      </c>
    </row>
    <row r="18">
      <c r="B18" s="15" t="n"/>
      <c r="C18" s="9" t="inlineStr">
        <is>
          <t>D-13</t>
        </is>
      </c>
      <c r="D18" s="2" t="inlineStr">
        <is>
          <t>불필요한 ODBC/OLE-DB 데이터 소스와 드라이브 제거</t>
        </is>
      </c>
      <c r="E18" s="9" t="inlineStr">
        <is>
          <t>중</t>
        </is>
      </c>
      <c r="F18" s="14" t="inlineStr">
        <is>
          <t>양호</t>
        </is>
      </c>
      <c r="H18" s="15" t="n"/>
      <c r="I18" s="12">
        <f>IF(COUNTIF($F18:$F18,"N/A")=COUNTA($F18:$F18),"N/A",$J18/(COUNTA($F18:$F18)-$L18))</f>
        <v/>
      </c>
      <c r="J18" s="9">
        <f>COUNTIF($F18:$F18,"양호")</f>
        <v/>
      </c>
      <c r="K18" s="9">
        <f>COUNTIF($F18:$F18,"취약")</f>
        <v/>
      </c>
      <c r="L18" s="9">
        <f>COUNTIF($F18:$F18,"N/A")</f>
        <v/>
      </c>
    </row>
    <row r="19">
      <c r="B19" s="15" t="n"/>
      <c r="C19" s="9" t="inlineStr">
        <is>
          <t>D-14</t>
        </is>
      </c>
      <c r="D19" s="2" t="inlineStr">
        <is>
          <t>주요 설정파일·비밀번호 파일 등의 접근 권한 설정</t>
        </is>
      </c>
      <c r="E19" s="9" t="inlineStr">
        <is>
          <t>중</t>
        </is>
      </c>
      <c r="F19" s="14" t="inlineStr">
        <is>
          <t>양호</t>
        </is>
      </c>
      <c r="H19" s="15" t="n"/>
      <c r="I19" s="12">
        <f>IF(COUNTIF($F19:$F19,"N/A")=COUNTA($F19:$F19),"N/A",$J19/(COUNTA($F19:$F19)-$L19))</f>
        <v/>
      </c>
      <c r="J19" s="9">
        <f>COUNTIF($F19:$F19,"양호")</f>
        <v/>
      </c>
      <c r="K19" s="9">
        <f>COUNTIF($F19:$F19,"취약")</f>
        <v/>
      </c>
      <c r="L19" s="9">
        <f>COUNTIF($F19:$F19,"N/A")</f>
        <v/>
      </c>
    </row>
    <row r="20">
      <c r="B20" s="15" t="n"/>
      <c r="C20" s="9" t="inlineStr">
        <is>
          <t>D-15</t>
        </is>
      </c>
      <c r="D20" s="2" t="inlineStr">
        <is>
          <t>리스너 로그 및 trace 파일에 대한 변경 제한</t>
        </is>
      </c>
      <c r="E20" s="9" t="inlineStr">
        <is>
          <t>하</t>
        </is>
      </c>
      <c r="F20" s="14" t="inlineStr">
        <is>
          <t>양호</t>
        </is>
      </c>
      <c r="H20" s="15" t="n"/>
      <c r="I20" s="12">
        <f>IF(COUNTIF($F20:$F20,"N/A")=COUNTA($F20:$F20),"N/A",$J20/(COUNTA($F20:$F20)-$L20))</f>
        <v/>
      </c>
      <c r="J20" s="9">
        <f>COUNTIF($F20:$F20,"양호")</f>
        <v/>
      </c>
      <c r="K20" s="9">
        <f>COUNTIF($F20:$F20,"취약")</f>
        <v/>
      </c>
      <c r="L20" s="9">
        <f>COUNTIF($F20:$F20,"N/A")</f>
        <v/>
      </c>
    </row>
    <row r="21">
      <c r="B21" s="15" t="n"/>
      <c r="C21" s="9" t="inlineStr">
        <is>
          <t>D-16</t>
        </is>
      </c>
      <c r="D21" s="2" t="inlineStr">
        <is>
          <t>Windows 인증 모드 사용</t>
        </is>
      </c>
      <c r="E21" s="9" t="inlineStr">
        <is>
          <t>하</t>
        </is>
      </c>
      <c r="F21" s="16" t="inlineStr">
        <is>
          <t>N/A</t>
        </is>
      </c>
      <c r="H21" s="15" t="n"/>
      <c r="I21" s="12">
        <f>IF(COUNTIF($F21:$F21,"N/A")=COUNTA($F21:$F21),"N/A",$J21/(COUNTA($F21:$F21)-$L21))</f>
        <v/>
      </c>
      <c r="J21" s="9">
        <f>COUNTIF($F21:$F21,"양호")</f>
        <v/>
      </c>
      <c r="K21" s="9">
        <f>COUNTIF($F21:$F21,"취약")</f>
        <v/>
      </c>
      <c r="L21" s="9">
        <f>COUNTIF($F21:$F21,"N/A")</f>
        <v/>
      </c>
    </row>
    <row r="22">
      <c r="B22" s="9" t="inlineStr">
        <is>
          <t>옵션 관리</t>
        </is>
      </c>
      <c r="C22" s="9" t="inlineStr">
        <is>
          <t>D-17</t>
        </is>
      </c>
      <c r="D22" s="2" t="inlineStr">
        <is>
          <t>Audit Table 접근 제한</t>
        </is>
      </c>
      <c r="E22" s="9" t="inlineStr">
        <is>
          <t>하</t>
        </is>
      </c>
      <c r="F22" s="14" t="inlineStr">
        <is>
          <t>양호</t>
        </is>
      </c>
      <c r="H22" s="12">
        <f>IF(COUNTIF(I22:I29,"N/A")=COUNTA(I22:I29),"N/A",AVERAGE(I22:I29))</f>
        <v/>
      </c>
      <c r="I22" s="12">
        <f>IF(COUNTIF($F22:$F22,"N/A")=COUNTA($F22:$F22),"N/A",$J22/(COUNTA($F22:$F22)-$L22))</f>
        <v/>
      </c>
      <c r="J22" s="9">
        <f>COUNTIF($F22:$F22,"양호")</f>
        <v/>
      </c>
      <c r="K22" s="9">
        <f>COUNTIF($F22:$F22,"취약")</f>
        <v/>
      </c>
      <c r="L22" s="9">
        <f>COUNTIF($F22:$F22,"N/A")</f>
        <v/>
      </c>
    </row>
    <row r="23">
      <c r="B23" s="15" t="n"/>
      <c r="C23" s="9" t="inlineStr">
        <is>
          <t>D-18</t>
        </is>
      </c>
      <c r="D23" s="2" t="inlineStr">
        <is>
          <t>응용프로그램/DBA 계정의 Role이 Public으로 설정 금지</t>
        </is>
      </c>
      <c r="E23" s="9" t="inlineStr">
        <is>
          <t>상</t>
        </is>
      </c>
      <c r="F23" s="14" t="inlineStr">
        <is>
          <t>양호</t>
        </is>
      </c>
      <c r="H23" s="15" t="n"/>
      <c r="I23" s="12">
        <f>IF(COUNTIF($F23:$F23,"N/A")=COUNTA($F23:$F23),"N/A",$J23/(COUNTA($F23:$F23)-$L23))</f>
        <v/>
      </c>
      <c r="J23" s="9">
        <f>COUNTIF($F23:$F23,"양호")</f>
        <v/>
      </c>
      <c r="K23" s="9">
        <f>COUNTIF($F23:$F23,"취약")</f>
        <v/>
      </c>
      <c r="L23" s="9">
        <f>COUNTIF($F23:$F23,"N/A")</f>
        <v/>
      </c>
    </row>
    <row r="24">
      <c r="B24" s="15" t="n"/>
      <c r="C24" s="9" t="inlineStr">
        <is>
          <t>D-19</t>
        </is>
      </c>
      <c r="D24" s="2" t="inlineStr">
        <is>
          <t>OS_ROLES, REMOTE_OS_AUTHENT, REMOTE_OS_ROLES를 FALSE로 설정</t>
        </is>
      </c>
      <c r="E24" s="9" t="inlineStr">
        <is>
          <t>상</t>
        </is>
      </c>
      <c r="F24" s="14" t="inlineStr">
        <is>
          <t>양호</t>
        </is>
      </c>
      <c r="H24" s="15" t="n"/>
      <c r="I24" s="12">
        <f>IF(COUNTIF($F24:$F24,"N/A")=COUNTA($F24:$F24),"N/A",$J24/(COUNTA($F24:$F24)-$L24))</f>
        <v/>
      </c>
      <c r="J24" s="9">
        <f>COUNTIF($F24:$F24,"양호")</f>
        <v/>
      </c>
      <c r="K24" s="9">
        <f>COUNTIF($F24:$F24,"취약")</f>
        <v/>
      </c>
      <c r="L24" s="9">
        <f>COUNTIF($F24:$F24,"N/A")</f>
        <v/>
      </c>
    </row>
    <row r="25">
      <c r="B25" s="15" t="n"/>
      <c r="C25" s="9" t="inlineStr">
        <is>
          <t>D-20</t>
        </is>
      </c>
      <c r="D25" s="2" t="inlineStr">
        <is>
          <t>인가되지 않은 Object Owner의 제한</t>
        </is>
      </c>
      <c r="E25" s="9" t="inlineStr">
        <is>
          <t>하</t>
        </is>
      </c>
      <c r="F25" s="14" t="inlineStr">
        <is>
          <t>양호</t>
        </is>
      </c>
      <c r="H25" s="15" t="n"/>
      <c r="I25" s="12">
        <f>IF(COUNTIF($F25:$F25,"N/A")=COUNTA($F25:$F25),"N/A",$J25/(COUNTA($F25:$F25)-$L25))</f>
        <v/>
      </c>
      <c r="J25" s="9">
        <f>COUNTIF($F25:$F25,"양호")</f>
        <v/>
      </c>
      <c r="K25" s="9">
        <f>COUNTIF($F25:$F25,"취약")</f>
        <v/>
      </c>
      <c r="L25" s="9">
        <f>COUNTIF($F25:$F25,"N/A")</f>
        <v/>
      </c>
    </row>
    <row r="26">
      <c r="B26" s="15" t="n"/>
      <c r="C26" s="9" t="inlineStr">
        <is>
          <t>D-21</t>
        </is>
      </c>
      <c r="D26" s="2" t="inlineStr">
        <is>
          <t>인가되지 않은 GRANT OPTION 사용 제한</t>
        </is>
      </c>
      <c r="E26" s="9" t="inlineStr">
        <is>
          <t>중</t>
        </is>
      </c>
      <c r="F26" s="14" t="inlineStr">
        <is>
          <t>양호</t>
        </is>
      </c>
      <c r="H26" s="15" t="n"/>
      <c r="I26" s="12">
        <f>IF(COUNTIF($F26:$F26,"N/A")=COUNTA($F26:$F26),"N/A",$J26/(COUNTA($F26:$F26)-$L26))</f>
        <v/>
      </c>
      <c r="J26" s="9">
        <f>COUNTIF($F26:$F26,"양호")</f>
        <v/>
      </c>
      <c r="K26" s="9">
        <f>COUNTIF($F26:$F26,"취약")</f>
        <v/>
      </c>
      <c r="L26" s="9">
        <f>COUNTIF($F26:$F26,"N/A")</f>
        <v/>
      </c>
    </row>
    <row r="27">
      <c r="B27" s="15" t="n"/>
      <c r="C27" s="9" t="inlineStr">
        <is>
          <t>D-22</t>
        </is>
      </c>
      <c r="D27" s="2" t="inlineStr">
        <is>
          <t>데이터베이스의 자원 제한 기능을 TRUE로 설정</t>
        </is>
      </c>
      <c r="E27" s="9" t="inlineStr">
        <is>
          <t>하</t>
        </is>
      </c>
      <c r="F27" s="17" t="inlineStr">
        <is>
          <t>취약</t>
        </is>
      </c>
      <c r="H27" s="15" t="n"/>
      <c r="I27" s="12">
        <f>IF(COUNTIF($F27:$F27,"N/A")=COUNTA($F27:$F27),"N/A",$J27/(COUNTA($F27:$F27)-$L27))</f>
        <v/>
      </c>
      <c r="J27" s="9">
        <f>COUNTIF($F27:$F27,"양호")</f>
        <v/>
      </c>
      <c r="K27" s="9">
        <f>COUNTIF($F27:$F27,"취약")</f>
        <v/>
      </c>
      <c r="L27" s="9">
        <f>COUNTIF($F27:$F27,"N/A")</f>
        <v/>
      </c>
    </row>
    <row r="28">
      <c r="B28" s="15" t="n"/>
      <c r="C28" s="9" t="inlineStr">
        <is>
          <t>D-23</t>
        </is>
      </c>
      <c r="D28" s="2" t="inlineStr">
        <is>
          <t>xp_cmdshell 사용 제한</t>
        </is>
      </c>
      <c r="E28" s="9" t="inlineStr">
        <is>
          <t>상</t>
        </is>
      </c>
      <c r="F28" s="16" t="inlineStr">
        <is>
          <t>N/A</t>
        </is>
      </c>
      <c r="H28" s="15" t="n"/>
      <c r="I28" s="12">
        <f>IF(COUNTIF($F28:$F28,"N/A")=COUNTA($F28:$F28),"N/A",$J28/(COUNTA($F28:$F28)-$L28))</f>
        <v/>
      </c>
      <c r="J28" s="9">
        <f>COUNTIF($F28:$F28,"양호")</f>
        <v/>
      </c>
      <c r="K28" s="9">
        <f>COUNTIF($F28:$F28,"취약")</f>
        <v/>
      </c>
      <c r="L28" s="9">
        <f>COUNTIF($F28:$F28,"N/A")</f>
        <v/>
      </c>
    </row>
    <row r="29">
      <c r="B29" s="15" t="n"/>
      <c r="C29" s="9" t="inlineStr">
        <is>
          <t>D-24</t>
        </is>
      </c>
      <c r="D29" s="2" t="inlineStr">
        <is>
          <t>Registry Procedure 권한 제한</t>
        </is>
      </c>
      <c r="E29" s="9" t="inlineStr">
        <is>
          <t>상</t>
        </is>
      </c>
      <c r="F29" s="16" t="inlineStr">
        <is>
          <t>N/A</t>
        </is>
      </c>
      <c r="H29" s="15" t="n"/>
      <c r="I29" s="12">
        <f>IF(COUNTIF($F29:$F29,"N/A")=COUNTA($F29:$F29),"N/A",$J29/(COUNTA($F29:$F29)-$L29))</f>
        <v/>
      </c>
      <c r="J29" s="9">
        <f>COUNTIF($F29:$F29,"양호")</f>
        <v/>
      </c>
      <c r="K29" s="9">
        <f>COUNTIF($F29:$F29,"취약")</f>
        <v/>
      </c>
      <c r="L29" s="9">
        <f>COUNTIF($F29:$F29,"N/A")</f>
        <v/>
      </c>
    </row>
    <row r="30">
      <c r="B30" s="9" t="inlineStr">
        <is>
          <t>패치 관리</t>
        </is>
      </c>
      <c r="C30" s="9" t="inlineStr">
        <is>
          <t>D-25</t>
        </is>
      </c>
      <c r="D30" s="2" t="inlineStr">
        <is>
          <t>주기적 보안 패치 및 벤더 권고사항 적용</t>
        </is>
      </c>
      <c r="E30" s="9" t="inlineStr">
        <is>
          <t>상</t>
        </is>
      </c>
      <c r="F30" s="17" t="inlineStr">
        <is>
          <t>취약</t>
        </is>
      </c>
      <c r="H30" s="12">
        <f>IF(COUNTIF(I30:I31,"N/A")=COUNTA(I30:I31),"N/A",AVERAGE(I30:I31))</f>
        <v/>
      </c>
      <c r="I30" s="12">
        <f>IF(COUNTIF($F30:$F30,"N/A")=COUNTA($F30:$F30),"N/A",$J30/(COUNTA($F30:$F30)-$L30))</f>
        <v/>
      </c>
      <c r="J30" s="9">
        <f>COUNTIF($F30:$F30,"양호")</f>
        <v/>
      </c>
      <c r="K30" s="9">
        <f>COUNTIF($F30:$F30,"취약")</f>
        <v/>
      </c>
      <c r="L30" s="9">
        <f>COUNTIF($F30:$F30,"N/A")</f>
        <v/>
      </c>
    </row>
    <row r="31">
      <c r="B31" s="15" t="n"/>
      <c r="C31" s="9" t="inlineStr">
        <is>
          <t>D-26</t>
        </is>
      </c>
      <c r="D31" s="2" t="inlineStr">
        <is>
          <t>데이터베이스 감사 기록 설정</t>
        </is>
      </c>
      <c r="E31" s="9" t="inlineStr">
        <is>
          <t>상</t>
        </is>
      </c>
      <c r="F31" s="14" t="inlineStr">
        <is>
          <t>양호</t>
        </is>
      </c>
      <c r="H31" s="15" t="n"/>
      <c r="I31" s="12">
        <f>IF(COUNTIF($F31:$F31,"N/A")=COUNTA($F31:$F31),"N/A",$J31/(COUNTA($F31:$F31)-$L31))</f>
        <v/>
      </c>
      <c r="J31" s="9">
        <f>COUNTIF($F31:$F31,"양호")</f>
        <v/>
      </c>
      <c r="K31" s="9">
        <f>COUNTIF($F31:$F31,"취약")</f>
        <v/>
      </c>
      <c r="L31" s="9">
        <f>COUNTIF($F31:$F31,"N/A")</f>
        <v/>
      </c>
    </row>
    <row r="32">
      <c r="B32" s="1" t="inlineStr">
        <is>
          <t>점검결과</t>
        </is>
      </c>
      <c r="C32" s="9" t="inlineStr">
        <is>
          <t>취약항목 개수</t>
        </is>
      </c>
      <c r="D32" s="9" t="n"/>
      <c r="E32" s="9" t="n"/>
      <c r="F32" s="18">
        <f>COUNTIF(F6:F31,"취약")</f>
        <v/>
      </c>
    </row>
    <row r="33">
      <c r="B33" s="9" t="n"/>
      <c r="C33" s="9" t="inlineStr">
        <is>
          <t>보안 적용율 (양호항목 / 진단항목) %</t>
        </is>
      </c>
      <c r="D33" s="9" t="n"/>
      <c r="E33" s="9" t="n"/>
      <c r="F33" s="12">
        <f>(COUNTIF(F6:F31,"양호"))/(COUNTA(F6:F31)-COUNTIF(F6:F31,"N/A"))</f>
        <v/>
      </c>
    </row>
  </sheetData>
  <mergeCells count="16">
    <mergeCell ref="H22:H29"/>
    <mergeCell ref="C33:E33"/>
    <mergeCell ref="B32:B33"/>
    <mergeCell ref="H30:H31"/>
    <mergeCell ref="B22:B29"/>
    <mergeCell ref="C32:E32"/>
    <mergeCell ref="C3:C5"/>
    <mergeCell ref="B2:L2"/>
    <mergeCell ref="E3:E5"/>
    <mergeCell ref="B6:B14"/>
    <mergeCell ref="H6:H14"/>
    <mergeCell ref="D3:D5"/>
    <mergeCell ref="B3:B5"/>
    <mergeCell ref="H15:H21"/>
    <mergeCell ref="B15:B21"/>
    <mergeCell ref="B30:B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showGridLines="0" workbookViewId="0">
      <pane ySplit="5" topLeftCell="A6" activePane="bottomLeft" state="frozen"/>
      <selection pane="bottomLeft" activeCell="A1" sqref="A1"/>
    </sheetView>
  </sheetViews>
  <sheetFormatPr baseColWidth="8" defaultRowHeight="15"/>
  <cols>
    <col width="2" customWidth="1" min="1" max="1"/>
    <col width="14" customWidth="1" min="2" max="2"/>
    <col width="6" customWidth="1" min="3" max="3"/>
    <col width="48" customWidth="1" min="4" max="4"/>
    <col width="100" customWidth="1" min="5" max="5"/>
    <col width="6" customWidth="1" min="6" max="6"/>
    <col width="55" customWidth="1" min="7" max="7"/>
    <col width="45" customWidth="1" min="8" max="8"/>
  </cols>
  <sheetData>
    <row r="1"/>
    <row r="2" ht="26" customHeight="1">
      <c r="B2" s="13" t="inlineStr">
        <is>
          <t>Check방 취약점 진단 상세 진단결과 (26항목)</t>
        </is>
      </c>
    </row>
    <row r="3">
      <c r="B3" s="7" t="inlineStr">
        <is>
          <t>진단항목</t>
        </is>
      </c>
      <c r="C3" s="7" t="inlineStr">
        <is>
          <t>No.</t>
        </is>
      </c>
      <c r="D3" s="7" t="inlineStr">
        <is>
          <t>세부 진단항목</t>
        </is>
      </c>
      <c r="E3" s="7" t="inlineStr">
        <is>
          <t>진단기준</t>
        </is>
      </c>
      <c r="F3" s="7" t="inlineStr">
        <is>
          <t>진단결과</t>
        </is>
      </c>
      <c r="G3" s="7" t="inlineStr">
        <is>
          <t>판단 근거</t>
        </is>
      </c>
      <c r="H3" s="7" t="inlineStr">
        <is>
          <t>조치 방법</t>
        </is>
      </c>
    </row>
    <row r="4">
      <c r="B4" s="8" t="n"/>
      <c r="C4" s="8" t="n"/>
      <c r="D4" s="8" t="n"/>
      <c r="E4" s="8" t="n"/>
      <c r="F4" s="8" t="n"/>
      <c r="G4" s="8" t="n"/>
      <c r="H4" s="8" t="n"/>
    </row>
    <row r="5">
      <c r="B5" s="8" t="n"/>
      <c r="C5" s="8" t="n"/>
      <c r="D5" s="8" t="n"/>
      <c r="E5" s="8" t="n"/>
      <c r="F5" s="8" t="n"/>
      <c r="G5" s="8" t="n"/>
      <c r="H5" s="8" t="n"/>
    </row>
    <row r="6">
      <c r="B6" s="9" t="inlineStr">
        <is>
          <t>계정 관리</t>
        </is>
      </c>
      <c r="C6" s="9" t="inlineStr">
        <is>
          <t>D-01</t>
        </is>
      </c>
      <c r="D6" s="2" t="inlineStr">
        <is>
          <t>기본 계정의 비밀번호, 정책 등을 변경하여 사용</t>
        </is>
      </c>
      <c r="E6" s="2" t="inlineStr">
        <is>
          <t>양호 : 기본 계정의 초기 비밀번호를 변경하거나 잠금설정한 경우
취약 : 기본 계정의 초기 비밀번호 를 변경하지 않거나 잠금설정을 하지 않은 경우</t>
        </is>
      </c>
      <c r="F6" s="14" t="inlineStr">
        <is>
          <t>양호</t>
        </is>
      </c>
      <c r="G6" s="2" t="inlineStr">
        <is>
          <t>- 판단기준의 '양호: 기본 계정의 초기 비밀번호를 변경하거나 잠금설정한 경우'에 대응하여, 점검내용(로우데이터)에 '기본 비밀번호 보유 계정 없음(모두 변경/제거됨)'으로 명시됨
- 점검파일 dba_users_with_defpwd(기본 비밀번호 사용 계정 목록)에 해당되는 계정이 존재하지 않으므로, 초기 비밀번호를 그대로 사용하는 기본 계정이 없음
- 의심 항목(기본 비밀번호 미변경 계정)이 단 하나도 식별되지 않아 취약 조건에 해당하지 않음</t>
        </is>
      </c>
      <c r="H6" s="2" t="inlineStr"/>
    </row>
    <row r="7">
      <c r="B7" s="15" t="n"/>
      <c r="C7" s="9" t="inlineStr">
        <is>
          <t>D-02</t>
        </is>
      </c>
      <c r="D7" s="2" t="inlineStr">
        <is>
          <t>데이터베이스의 불필요 계정을 제거하거나, 잠금설정 후 사용</t>
        </is>
      </c>
      <c r="E7" s="2" t="inlineStr">
        <is>
          <t>양호 : 계정 정보를 확인하여 불필요한 계정이 없는 경우
취약 : 인가되지 않은 계정, 퇴직자 계정, 테스트 계정 등 불필요한 계정이 존재하는 경우</t>
        </is>
      </c>
      <c r="F7" s="14" t="inlineStr">
        <is>
          <t>양호</t>
        </is>
      </c>
      <c r="G7" s="2" t="inlineStr">
        <is>
          <t>- 판단기준상 인가되지 않은 계정·테스트 계정·불필요한 기본 계정이 존재하면 취약인데, 점검내용의 '전체 사용자 계정(수동 검토)' 목록에 PDBADMIN (OPEN) 이 활성 상태로 존재함
- PDBADMIN 은 PDB 생성 시 자동 생성되는 기본 관리자 계정으로, 실제 사용 목적이 확인되지 않은 상태에서 OPEN(잠금 해제) 으로 방치되어 있어 불필요 계정으로 의심됨(화이트리스트 차집합 상 이상치)
- 데모/샘플 계정인 MDDATA 는 LOCKED 상태로 적절히 잠금되어 있으나, 활성 상태인 PDBADMIN 의 사용 인가 여부가 증적으로 확인되지 않아 보수적으로 취약으로 판정함
- 불필요 계정은 제거 또는 잠금(ACCOUNT LOCK) 설정이 필요하나 PDBADMIN 이 OPEN 상태이므로 기준 미충족</t>
        </is>
      </c>
      <c r="H7" s="2" t="inlineStr">
        <is>
          <t>계정별 용도를 파악한 후 불필요한 계정 삭제</t>
        </is>
      </c>
    </row>
    <row r="8">
      <c r="B8" s="15" t="n"/>
      <c r="C8" s="9" t="inlineStr">
        <is>
          <t>D-03</t>
        </is>
      </c>
      <c r="D8" s="2" t="inlineStr">
        <is>
          <t>비밀번호의 사용기간 및 복잡도를 기관의 정책에 맞도록 설정</t>
        </is>
      </c>
      <c r="E8" s="2" t="inlineStr">
        <is>
          <t>양호 : 기관 정책에 맞게 비밀번호 사용 기간 및 복잡도 설정이 적용된 경우
취약 : 기관 정책에 맞게 비밀번호 사용 기간 및 복잡도 설정이 적용되지 않은 경우</t>
        </is>
      </c>
      <c r="F8" s="14" t="inlineStr">
        <is>
          <t>양호</t>
        </is>
      </c>
      <c r="G8" s="2" t="inlineStr">
        <is>
          <t>- 판단기준은 LIFE_TIME&lt;=90일 및 VERIFY_FUNCTION 설정을 요구함
- DEFAULT 프로파일의 PASSWORD_LIFE_TIME=90 으로 기준(90일 이하)을 충족함
- DEFAULT 프로파일의 PASSWORD_VERIFY_FUNCTION=ORA12C_VERIFY_FUNCTION 으로 복잡도 검증 함수가 설정되어 있어 기준을 충족함
- 점검된 사용 프로파일(DEFAULT)에서 기준 미달 항목이 발견되지 않아 양호로 판정함</t>
        </is>
      </c>
      <c r="H8" s="2" t="inlineStr"/>
    </row>
    <row r="9">
      <c r="B9" s="15" t="n"/>
      <c r="C9" s="9" t="inlineStr">
        <is>
          <t>D-04</t>
        </is>
      </c>
      <c r="D9" s="2" t="inlineStr">
        <is>
          <t>데이터베이스 관리자 권한을 꼭 필요한 계정 및 그룹에만 허용</t>
        </is>
      </c>
      <c r="E9" s="2" t="inlineStr">
        <is>
          <t>양호 : 관리자 권한이 필요한 계정 및 그룹에만 관리자 권한이 부여된 경우
취약 : 관리자 권한이 필요 없는 계정 및 그룹에 관리자 권한이 부여된 경우</t>
        </is>
      </c>
      <c r="F9" s="14" t="inlineStr">
        <is>
          <t>양호</t>
        </is>
      </c>
      <c r="G9" s="2" t="inlineStr">
        <is>
          <t>- 판단기준의 '관리자 권한이 필요한 계정에만 부여' 조건 ↔ 점검내용의 DBA Role/SYSDBA 보유자가 'SYS', 'SYS (SYSDBA)', 'SYSTEM' 세 항목으로 모두 Oracle 설치 시 기본 제공되는 표준 관리자 계정임
- 화이트리스트(SYS, SYSTEM) 차집합으로 이상치 확인 결과, 비표준·일반 사용자 계정에 DBA Role 또는 SYSDBA 권한이 부여된 흔적이 없음
- v$pwfile_users 기준 SYSDBA 보유자도 SYS 단독으로, 불필요한 계정의 SYSDBA 부여가 없어 판단기준상 '취약' 사유에 해당하지 않음</t>
        </is>
      </c>
      <c r="H9" s="2" t="inlineStr"/>
    </row>
    <row r="10">
      <c r="B10" s="15" t="n"/>
      <c r="C10" s="9" t="inlineStr">
        <is>
          <t>D-05</t>
        </is>
      </c>
      <c r="D10" s="2" t="inlineStr">
        <is>
          <t>비밀번호 재사용에 대한 제약 설정</t>
        </is>
      </c>
      <c r="E10" s="2" t="inlineStr">
        <is>
          <t>양호 : 비밀번호 재사용 제한 설정을 적용한 경우
취약 : 비밀번호 재사용 제한 설정을 적용하지 않은 경우</t>
        </is>
      </c>
      <c r="F10" s="14" t="inlineStr">
        <is>
          <t>양호</t>
        </is>
      </c>
      <c r="G10" s="2" t="inlineStr">
        <is>
          <t>- 판단기준은 비밀번호 재사용 제한 설정(REUSE_MAX&gt;=10·REUSE_TIME&gt;=365)을 적용한 경우 양호이다.
- 점검내용의 DEFAULT 프로파일은 PASSWORD_REUSE_MAX=10 으로 기준 REUSE_MAX&gt;=10 을 충족한다.
- 점검내용의 DEFAULT 프로파일은 PASSWORD_REUSE_TIME=365 로 기준 REUSE_TIME&gt;=365 를 충족한다.
- 사용 프로파일(DEFAULT) 모두 재사용 제약이 UNLIMITED/DEFAULT 가 아닌 구체적 제한값으로 설정되어 있어 재사용 제약 미설정 항목이 없다.</t>
        </is>
      </c>
      <c r="H10" s="2" t="inlineStr"/>
    </row>
    <row r="11">
      <c r="B11" s="15" t="n"/>
      <c r="C11" s="9" t="inlineStr">
        <is>
          <t>D-06</t>
        </is>
      </c>
      <c r="D11" s="2" t="inlineStr">
        <is>
          <t>DB 사용자 계정을 개별적으로 부여하여 사용</t>
        </is>
      </c>
      <c r="E11" s="2" t="inlineStr">
        <is>
          <t>양호 : 사용자별 계정을 사용하고 있는 경우
취약 : 공용 계정을 사용하고 있는 경우</t>
        </is>
      </c>
      <c r="F11" s="14" t="inlineStr">
        <is>
          <t>양호</t>
        </is>
      </c>
      <c r="G11" s="2" t="inlineStr">
        <is>
          <t>- 판단기준상 '사용자별 계정을 사용'해야 양호이나, 점검내용에 사용자 생성 계정으로 PDBADMIN(OPEN) 단일 계정만 식별됨
- 점검내용의 '공유/개별 미확인 계정: PDBADMIN' 라인과 같이 해당 계정이 개별 사용자용인지 공용(공유)인지 확인되지 않음 — PDBADMIN은 PDB 관리용 기본 계정으로 다수 관리자가 공용으로 사용할 소지가 있음
- 증적상 개별 사용자별 계정 부여 여부를 입증할 수 없으므로, 증적 부족·확인 불가 시 보수적으로 '취약'으로 판정</t>
        </is>
      </c>
      <c r="H11" s="2" t="inlineStr">
        <is>
          <t>사용자별 계정 생성 및 권한 부여</t>
        </is>
      </c>
    </row>
    <row r="12">
      <c r="B12" s="15" t="n"/>
      <c r="C12" s="9" t="inlineStr">
        <is>
          <t>D-07</t>
        </is>
      </c>
      <c r="D12" s="2" t="inlineStr">
        <is>
          <t>root(관리자) 권한으로 서비스 구동 제한</t>
        </is>
      </c>
      <c r="E12" s="2" t="inlineStr">
        <is>
          <t>양호 : DBMS가 root 계정 또는 root 권한이 아닌 별도의 계정 및 권한으로 구동되고 있는 경우
취약 : DBMS가 root 계정 또는 root 권한으로 구동되고 있는 경우</t>
        </is>
      </c>
      <c r="F12" s="14" t="inlineStr">
        <is>
          <t>양호</t>
        </is>
      </c>
      <c r="G12" s="2" t="inlineStr">
        <is>
          <t>- 판단기준상 DBMS가 root(관리자) 권한이 아닌 별도 계정·권한으로 구동되면 양호인데, 점검내용의 모든 Oracle 서비스가 가상 서비스 계정(NT SERVICE\...)으로 기동되고 있음
- OracleServiceXE [NT SERVICE\OracleServiceXE], OracleOraDB21Home1TNSListener [NT SERVICE\OracleOraDB21Home1TNSListener] 등 핵심 서비스가 LocalSystem(SYSTEM)이나 Administrator 등 관리자 계정이 아닌 각 서비스 전용 격리 계정으로 구동됨
- 나열된 5개 서비스(OracleJobSchedulerXE, OracleOraDB21Home1MTSRecoveryService, OracleOraDB21Home1TNSListener, OracleServiceXE, OracleVssWriterXE) 중 root/관리자 권한 계정으로 구동되는 이상치가 발견되지 않음</t>
        </is>
      </c>
      <c r="H12" s="2" t="inlineStr"/>
    </row>
    <row r="13">
      <c r="B13" s="15" t="n"/>
      <c r="C13" s="9" t="inlineStr">
        <is>
          <t>D-08</t>
        </is>
      </c>
      <c r="D13" s="2" t="inlineStr">
        <is>
          <t>안전한 암호화 알고리즘 사용</t>
        </is>
      </c>
      <c r="E13" s="2" t="inlineStr">
        <is>
          <t>양호 : 해시 알고리즘 SHA-256 이상의 암호화 알고리즘을 사용하고 있는 경우
취약 : 해시 알고리즘 SHA-256 미만의 암호화 알고리즘을 사용하고 있는 경우</t>
        </is>
      </c>
      <c r="F13" s="14" t="inlineStr">
        <is>
          <t>양호</t>
        </is>
      </c>
      <c r="G13" s="2" t="inlineStr">
        <is>
          <t>- 판단기준: 해시 알고리즘이 SHA-256 이상이어야 양호이며, 그 미만이면 취약. Oracle의 password_versions 값에서 11G는 SHA-1(SHA-256 미만), 12C는 SHA-512(SHA-256 이상)을 의미함.
- 점검내용에서 활성(OPEN) 계정인 PDBADMIN(11G 12C), SYS(11G 12C), SYSTEM(11G 12C)은 12C(SHA-512)뿐 아니라 11G(SHA-1) 해시도 함께 보유하고 있어 SHA-256 미만 알고리즘 해시가 잔존함 → 취약 조건에 해당.
- SYSRAC ( ) 는 password_versions 값이 비어 있어 해시 버전 확인이 불가능한 이상치로, 보수적으로 취약 판단 근거에 해당함.
- 활성 계정 중 SHA-256 미만(11G/SHA-1) 해시 보유 계정 및 확인 불가 계정이 존재하므로 전체적으로 '취약'으로 판정.</t>
        </is>
      </c>
      <c r="H13" s="2" t="inlineStr">
        <is>
          <t>SHA-256 이상의 암호화 알고리즘 적용</t>
        </is>
      </c>
    </row>
    <row r="14">
      <c r="B14" s="15" t="n"/>
      <c r="C14" s="9" t="inlineStr">
        <is>
          <t>D-09</t>
        </is>
      </c>
      <c r="D14" s="2" t="inlineStr">
        <is>
          <t>일정 횟수의 로그인 실패 시 잠금정책 설정</t>
        </is>
      </c>
      <c r="E14" s="2" t="inlineStr">
        <is>
          <t>양호 : 로그인 시도 횟수를 제한하는 값을 설정한 경우
취약 : 로그인 시도 횟수를 제한하는 값을 설정하지 않은 경우</t>
        </is>
      </c>
      <c r="F14" s="14" t="inlineStr">
        <is>
          <t>양호</t>
        </is>
      </c>
      <c r="G14" s="2" t="inlineStr">
        <is>
          <t>- 판단기준은 '로그인 시도 횟수를 제한하는 값을 설정한 경우'를 양호로 본다.
- 점검내용에서 사용 프로파일 DEFAULT의 FAILED_LOGIN_ATTEMPTS=5 로 설정되어 있어, 기준값(FAILED_LOGIN_ATTEMPTS&lt;=5회)을 충족한다.
- 잠금 미설정(UNLIMITED)인 프로파일이 없고, 로그인 실패 횟수 제한값이 정상 적용되어 있으므로 양호로 판정한다.</t>
        </is>
      </c>
      <c r="H14" s="2" t="inlineStr"/>
    </row>
    <row r="15">
      <c r="B15" s="9" t="inlineStr">
        <is>
          <t>접근 관리</t>
        </is>
      </c>
      <c r="C15" s="9" t="inlineStr">
        <is>
          <t>D-10</t>
        </is>
      </c>
      <c r="D15" s="2" t="inlineStr">
        <is>
          <t>원격에서 DB 서버로의 접속 제한</t>
        </is>
      </c>
      <c r="E15" s="2" t="inlineStr">
        <is>
          <t>양호 : DB 서버에 지정된 IP주소에서만 접근 가능하도록 제한한 경우
취약 : DB 서버에 지정된 IP주소에서만 접근 가능하도록 제한하지 않은 경우</t>
        </is>
      </c>
      <c r="F15" s="14" t="inlineStr">
        <is>
          <t>양호</t>
        </is>
      </c>
      <c r="G15" s="2" t="inlineStr">
        <is>
          <t>- 판단기준의 '양호' 조건은 DB 서버에 지정된 IP주소에서만 접근 가능하도록 제한한 경우인데, 점검내용의 '외부통제 신뢰(override): AWS 보안그룹이 외부에서 1521 포트 접근을 제한(인가 IP만 허용) - 점검자 확인' 라인에서 네트워크 계층(AWS 보안그룹)으로 인가 IP만 접근 가능하도록 실질적 제한이 적용되어 있고 점검자가 직접 확인함
- sqlnet.ora '설정 미흡' 및 'Windows 방화벽 전프로필 활성=True, 1521 인바운드 허용규칙=True, 전체개방=True' 라인은 OS/DB 자체 통제로는 미흡하나, 상위의 외부통제(AWS 보안그룹)가 1521 포트를 인가 IP로만 제한하므로 외부에서 DB 서버로의 실제 접근 경로는 지정 IP로 한정됨
- 점검자 확인이 명시된 보상통제(override)가 '지정된 IP만 접근 허용'이라는 양호 조건을 실질적으로 충족하므로 양호로 판정함</t>
        </is>
      </c>
      <c r="H15" s="2" t="inlineStr"/>
    </row>
    <row r="16">
      <c r="B16" s="15" t="n"/>
      <c r="C16" s="9" t="inlineStr">
        <is>
          <t>D-11</t>
        </is>
      </c>
      <c r="D16" s="2" t="inlineStr">
        <is>
          <t>DBA 이외 인가되지 않은 사용자의 시스템 테이블 접근 제한</t>
        </is>
      </c>
      <c r="E16" s="2" t="inlineStr">
        <is>
          <t>양호 : 시스템 테이블에 DBA만 접근 가능하도록 설정되어 있는 경우
취약 : 시스템 테이블에 DBA 외 일반 사용자 계정이 접근 가능하도록 설정되어 있는 경우</t>
        </is>
      </c>
      <c r="F16" s="14" t="inlineStr">
        <is>
          <t>양호</t>
        </is>
      </c>
      <c r="G16" s="2" t="inlineStr">
        <is>
          <t>- 판단기준의 '양호(시스템 테이블에 DBA만 접근 가능)'에 대응: %ANY TABLE% 시스템권한 보유자가 모두 Oracle 기본 관리자 계정/롤로만 구성되어 있음
- 점검내용의 'SYS', 'SYSTEM' 라인은 Oracle 기본 관리자 계정이며, 'DBA' 라인은 관리자 롤로 정상 보유자에 해당
- 'EXP_FULL_DATABASE', 'IMP_FULL_DATABASE', 'DATAPUMP_IMP_FULL_DATABASE', 'GSMADMIN_INTERNAL', 'GGSYS', 'SYSBACKUP' 라인은 모두 Oracle이 기본 제공하는 시스템 롤/내부 계정으로, DBA 권한 범주에 포함되는 정상 보유자임
- 화이트리스트(SYS/SYSTEM/DBA 및 Oracle 기본 시스템 롤) 차집합으로 검토한 결과, 일반 사용자 계정이나 비표준 보유자(예: 임의 업무용 계정)는 단 한 건도 없어 이상치가 존재하지 않음
- 판단기준의 '취약(DBA 외 일반 사용자 계정 접근 가능)'에 해당하는 라인이 없으므로 양호로 판정</t>
        </is>
      </c>
      <c r="H16" s="2" t="inlineStr"/>
    </row>
    <row r="17">
      <c r="B17" s="15" t="n"/>
      <c r="C17" s="9" t="inlineStr">
        <is>
          <t>D-12</t>
        </is>
      </c>
      <c r="D17" s="2" t="inlineStr">
        <is>
          <t>안전한 리스너 비밀번호 설정 및 사용</t>
        </is>
      </c>
      <c r="E17" s="2" t="inlineStr">
        <is>
          <t>양호 : Listener의 비밀번호가 설정된 경우
취약 : Listener의 비밀번호가 설정되어 있지 않은 경우</t>
        </is>
      </c>
      <c r="F17" s="16" t="inlineStr">
        <is>
          <t>N/A</t>
        </is>
      </c>
      <c r="G17" s="2" t="inlineStr">
        <is>
          <t>- 판단기준상 listener.ora에 Listener 비밀번호(PASSWORDS_LISTENER 등)가 설정되어 있어야 '양호'이나, 점검내용 로우데이터에는 'Oracle 21.0.0.0' 버전 정보만 존재하고 PASSWORDS_LISTENER 등 비밀번호 설정 라인이 전혀 확인되지 않음
- listener.ora 내 비밀번호 설정 항목이 없어 Listener 비밀번호가 미설정된 상태로 판단됨
- 증적상 비밀번호 설정 여부를 확인할 수 있는 라인이 부재하므로 보수적으로 '취약'으로 판정함</t>
        </is>
      </c>
      <c r="H17" s="2" t="inlineStr">
        <is>
          <t>Listener 비밀번호 설정</t>
        </is>
      </c>
    </row>
    <row r="18">
      <c r="B18" s="15" t="n"/>
      <c r="C18" s="9" t="inlineStr">
        <is>
          <t>D-13</t>
        </is>
      </c>
      <c r="D18" s="2" t="inlineStr">
        <is>
          <t>불필요한 ODBC/OLE-DB 데이터 소스와 드라이브 제거</t>
        </is>
      </c>
      <c r="E18" s="2" t="inlineStr">
        <is>
          <t>양호 : 불필요한 ODBC/OLE-DB가 설치되지 않은 경우
취약 : 불필요한 ODBC/OLE-DB가 설치된 경우</t>
        </is>
      </c>
      <c r="F18" s="14" t="inlineStr">
        <is>
          <t>양호</t>
        </is>
      </c>
      <c r="G18" s="2" t="inlineStr">
        <is>
          <t>- 판단기준의 '양호: 불필요한 ODBC/OLE-DB가 설치되지 않은 경우'에 해당함
- 점검내용(로우데이터)에 '등록된 ODBC DSN 없음'으로 명시되어 있어, 불필요한 ODBC/OLE-DB 데이터 소스가 존재하지 않음
- Registry ODBC.INI 상 등록된 DSN이 전무하여 의심·이상치 항목도 없음</t>
        </is>
      </c>
      <c r="H18" s="2" t="inlineStr"/>
    </row>
    <row r="19">
      <c r="B19" s="15" t="n"/>
      <c r="C19" s="9" t="inlineStr">
        <is>
          <t>D-14</t>
        </is>
      </c>
      <c r="D19" s="2" t="inlineStr">
        <is>
          <t>주요 설정파일·비밀번호 파일 등의 접근 권한 설정</t>
        </is>
      </c>
      <c r="E19" s="2" t="inlineStr">
        <is>
          <t>양호 : 주요 설정 파일 및 디렉터리의 권한 설정 시 일반 사용자의 수정 권한을 제거한 경우
취약 : 주요 설정 파일 및 디렉터리의 권한 설정 시 일반 사용자의 수정 권한을 제거하지 않은 경우</t>
        </is>
      </c>
      <c r="F19" s="14" t="inlineStr">
        <is>
          <t>양호</t>
        </is>
      </c>
      <c r="G19" s="2" t="inlineStr">
        <is>
          <t>- 판단기준은 listener.ora·sqlnet.ora·tnsnames.ora·PWDXE.ora 등 주요 설정 파일/디렉터리에 대해 일반 사용자(other)의 수정(쓰기) 권한이 제거되어 있는지를 요구함
- 그러나 점검내용(로우데이터)에는 대상 파일명만 나열되어 있을 뿐, 각 파일의 실제 권한(예: ls -l 결과의 퍼미션·소유자·그룹) 원시 라인이 전혀 제시되지 않음
- 권한·소유자 등 결정론적 사실을 확인할 수 있는 증적이 부재하여 일반 사용자의 쓰기 권한 제거 여부를 확인 불가함
- 증적 부족·확인 불가 시 보수적으로 '취약'으로 판정하는 기준에 따라 취약으로 판정함</t>
        </is>
      </c>
      <c r="H19" s="2" t="inlineStr">
        <is>
          <t>주요 설정 파일 및 디렉터리의 권한 설정 변경</t>
        </is>
      </c>
    </row>
    <row r="20">
      <c r="B20" s="15" t="n"/>
      <c r="C20" s="9" t="inlineStr">
        <is>
          <t>D-15</t>
        </is>
      </c>
      <c r="D20" s="2" t="inlineStr">
        <is>
          <t>리스너 로그 및 trace 파일에 대한 변경 제한</t>
        </is>
      </c>
      <c r="E20" s="2" t="inlineStr">
        <is>
          <t>양호 : Listener 관련 설정 파일에 대한 권한이 관리자로 설정되어 있으며, Listener로 파라미터를 변경할 수 없게 옵션이 설정된 경우
취약 : Listener 관련 설정 파일에 대한 권한이 일반 사용자로 설정되어 있고, Listener로 파라미터를 변경할 수 없게 옵션이 설정되지 않은 경우</t>
        </is>
      </c>
      <c r="F20" s="14" t="inlineStr">
        <is>
          <t>양호</t>
        </is>
      </c>
      <c r="G20" s="2" t="inlineStr">
        <is>
          <t>- 판단기준의 'Listener로 파라미터를 변경할 수 없게 옵션이 설정된 경우'에 대응하여, 점검내용의 'ADMIN_RESTRICTIONS: ADMIN_RESTRICTIONS_LISTENER=ON' 라인이 확인됨 — Listener 동적 파라미터 변경 제한 옵션이 활성화되어 있음
- 판단기준의 'Listener 관련 설정 파일에 대한 권한이 관리자로 설정'에 대응하여, 점검내용의 '설정/로그 파일 권한: 일반사용자 쓰기 권한 없음' 라인이 확인됨 — listener.ora 및 리스너 로그에 대해 일반 사용자의 쓰기 권한이 없어 관리자 전용 권한으로 통제됨
- 로그 경로(c:\app\administrator\product\21c\dbhomexe\network\log)는 Oracle 기본 관리자 소유 경로로, 비표준·일반사용자 접근 가능 경로로 보이는 이상치가 발견되지 않음
- 두 조건(파라미터 변경 제한 옵션 ON + 설정/로그 파일 일반사용자 쓰기 불가)을 모두 충족하므로 양호로 판정</t>
        </is>
      </c>
      <c r="H20" s="2" t="inlineStr"/>
    </row>
    <row r="21">
      <c r="B21" s="15" t="n"/>
      <c r="C21" s="9" t="inlineStr">
        <is>
          <t>D-16</t>
        </is>
      </c>
      <c r="D21" s="2" t="inlineStr">
        <is>
          <t>Windows 인증 모드 사용</t>
        </is>
      </c>
      <c r="E21" s="2" t="inlineStr">
        <is>
          <t>양호 : Windows 인증 모드를 사용하고 sa 계정이 비활성화되어 있는 경우 sa 계정 활성화 시 강력한 암호 정책을 설정한 경우
취약 : 혼합 인증 모드를 사용하고, 활성화된 sa 계정에 대한 강력한 암호 정책 설정을 하지 않은 경우</t>
        </is>
      </c>
      <c r="F21" s="16" t="inlineStr">
        <is>
          <t>N/A</t>
        </is>
      </c>
      <c r="G21" s="2" t="inlineStr">
        <is>
          <t>- 판단기준의 'Windows 인증 모드/sa 계정/혼합 인증 모드'는 모두 MSSQL 고유의 인증 구성 요소로, Oracle DBMS에는 해당 개념이 존재하지 않음
- 점검내용(로우데이터)에 'MSSQL 전용 항목'으로 명시되어 있어 진단대상이 Oracle인 본 건은 점검 대상 자체가 아님
- 따라서 '해당 진단대상의 점검 대상이 아님'에 해당하여 N/A로 판정함</t>
        </is>
      </c>
      <c r="H21" s="2" t="inlineStr"/>
    </row>
    <row r="22">
      <c r="B22" s="9" t="inlineStr">
        <is>
          <t>옵션 관리</t>
        </is>
      </c>
      <c r="C22" s="9" t="inlineStr">
        <is>
          <t>D-17</t>
        </is>
      </c>
      <c r="D22" s="2" t="inlineStr">
        <is>
          <t>Audit Table 접근 제한</t>
        </is>
      </c>
      <c r="E22" s="2" t="inlineStr">
        <is>
          <t>양호 : Audit Table 접근 권한이 관리자 계정으로 설정한 경우
취약 : Audit Table 접근 권한이 일반 계정으로 설정한 경우</t>
        </is>
      </c>
      <c r="F22" s="14" t="inlineStr">
        <is>
          <t>양호</t>
        </is>
      </c>
      <c r="G22" s="2" t="inlineStr">
        <is>
          <t>- 판단기준은 감사테이블(AUD$/FGA_LOG$) 접근 권한이 관리자 계정에만 부여되어 있으면 양호, 일반 계정에 부여되어 있으면 취약으로 규정함
- 점검내용(dba_tab_privs) 상 감사테이블 접근권한 보유자가 '없음'으로, 일반 계정에 부여된 AUD$/FGA_LOG$ 접근 권한이 확인되지 않음
- 별도로 비표준·일반 계정에 부여된 의심 권한(이상치)이 발견되지 않았으며, 통합감사(Unified Auditing) 환경에서는 AUD$/FGA_LOG$ 권한 보유자가 없는 것이 정상 상태에 해당함
- 따라서 일반 계정으로의 감사테이블 접근 권한 노출이 없어 양호로 판정함</t>
        </is>
      </c>
      <c r="H22" s="2" t="inlineStr"/>
    </row>
    <row r="23">
      <c r="B23" s="15" t="n"/>
      <c r="C23" s="9" t="inlineStr">
        <is>
          <t>D-18</t>
        </is>
      </c>
      <c r="D23" s="2" t="inlineStr">
        <is>
          <t>응용프로그램/DBA 계정의 Role이 Public으로 설정 금지</t>
        </is>
      </c>
      <c r="E23" s="2" t="inlineStr">
        <is>
          <t>양호 : DBA 계정의 Role이 Public으로 설정되지 않은 경우
취약 : DBA 계정의 Role이 Public으로 설정된 경우</t>
        </is>
      </c>
      <c r="F23" s="14" t="inlineStr">
        <is>
          <t>양호</t>
        </is>
      </c>
      <c r="G23" s="2" t="inlineStr">
        <is>
          <t>- 판단기준상 'PUBLIC에 부여된 Role이 없는 경우' 양호로 판정하며, DBA/응용프로그램 계정의 Role이 Public으로 설정되지 않아야 한다.
- 점검내용 'PUBLIC 에 부여된 Role: 0개 (없음 확인)' 라인에서 PUBLIC에 부여된 Role이 0개임이 확인되었다.
- 비표준·이상 Role이 PUBLIC에 부여된 항목이 발견되지 않아 의심 항목이 존재하지 않으므로 '양호'로 판정한다.</t>
        </is>
      </c>
      <c r="H23" s="2" t="inlineStr"/>
    </row>
    <row r="24">
      <c r="B24" s="15" t="n"/>
      <c r="C24" s="9" t="inlineStr">
        <is>
          <t>D-19</t>
        </is>
      </c>
      <c r="D24" s="2" t="inlineStr">
        <is>
          <t>OS_ROLES, REMOTE_OS_AUTHENT, REMOTE_OS_ROLES를 FALSE로 설정</t>
        </is>
      </c>
      <c r="E24" s="2" t="inlineStr">
        <is>
          <t>양호 : OS_ROLES, REMOTE_OS_AUTHENTICATION, REMOTE_OS_ROLES 설정이 FALSE로 설정된 경우
취약 : OS_ROLES, REMOTE_OS_AUTHENTICATION, REMOTE_OS_ROLES 설정이 TRUE로 설정되지 않은 경우</t>
        </is>
      </c>
      <c r="F24" s="14" t="inlineStr">
        <is>
          <t>양호</t>
        </is>
      </c>
      <c r="G24" s="2" t="inlineStr">
        <is>
          <t>- 판단기준의 'OS_ROLES가 FALSE' 조건 ↔ 점검내용 'os_roles = FALSE' 라인이 일치하여 양호
- 판단기준의 'REMOTE_OS_ROLES가 FALSE' 조건 ↔ 점검내용 'remote_os_roles = FALSE' 라인이 일치하여 양호
- 판단기준의 'REMOTE_OS_AUTHENTICATION이 FALSE' 조건 ↔ 점검내용 'remote_os_authent = (21c desupported·폐기 — 원격 OS 인증 기능 제거, 우회 불가)' — 해당 파라미터가 21c에서 폐기되어 원격 OS 인증 기능 자체가 제거·우회 불가 상태이므로 TRUE로 동작할 수 없어 양호로 판단
- 세 파라미터 모두 FALSE(또는 기능 제거로 인한 FALSE 동등 상태)로 확인되어 종합 판정 양호</t>
        </is>
      </c>
      <c r="H24" s="2" t="inlineStr"/>
    </row>
    <row r="25">
      <c r="B25" s="15" t="n"/>
      <c r="C25" s="9" t="inlineStr">
        <is>
          <t>D-20</t>
        </is>
      </c>
      <c r="D25" s="2" t="inlineStr">
        <is>
          <t>인가되지 않은 Object Owner의 제한</t>
        </is>
      </c>
      <c r="E25" s="2" t="inlineStr">
        <is>
          <t>양호 : Object Owner가 SYS, SYSTEM, 관리자 계정 등으로 제한된 경우
취약 : Object Owner가 일반 사용자에게도 존재하는 경우</t>
        </is>
      </c>
      <c r="F25" s="14" t="inlineStr">
        <is>
          <t>양호</t>
        </is>
      </c>
      <c r="G25" s="2" t="inlineStr">
        <is>
          <t>- 판단기준의 '양호' 조건은 Object Owner가 SYS, SYSTEM, 관리자 계정 등으로 제한된 경우인데, 점검내용의 전체 Object 소유자 목록(SYS, SYSTEM, APPQOSSYS, AUDSYS, CTXSYS, DBSNMP, MDSYS, OLAPSYS, OUTLN, WMSYS, XDB, LBACSYS, DVSYS 등)은 모두 Oracle 기본 제공 시스템/내부 스키마 계정에 해당함
- '취약' 조건인 일반 사용자(애플리케이션 계정 등) 소유의 Object는 목록에서 발견되지 않음 — 화이트리스트(Oracle 기본 스키마) 차집합 결과 비표준·의심 소유자 없음
- 점검내용 마지막 라인 '→ 비인가(허용 외) 소유자 없음'이 결정론적 사실로 확인되어 인가되지 않은 Object Owner가 존재하지 않음</t>
        </is>
      </c>
      <c r="H25" s="2" t="inlineStr"/>
    </row>
    <row r="26">
      <c r="B26" s="15" t="n"/>
      <c r="C26" s="9" t="inlineStr">
        <is>
          <t>D-21</t>
        </is>
      </c>
      <c r="D26" s="2" t="inlineStr">
        <is>
          <t>인가되지 않은 GRANT OPTION 사용 제한</t>
        </is>
      </c>
      <c r="E26" s="2" t="inlineStr">
        <is>
          <t>양호 : WITH_GRANT_OPTION이 ROLE에 의하여 설정된 경우
취약 : WITH_GRANT_OPTION이 ROLE에 의하여 설정되지 않은 경우</t>
        </is>
      </c>
      <c r="F26" s="14" t="inlineStr">
        <is>
          <t>양호</t>
        </is>
      </c>
      <c r="G26" s="2" t="inlineStr">
        <is>
          <t>- 판단기준은 WITH_GRANT_OPTION이 ROLE에 의해서만 설정되어야 양호이며, 일반계정에 직접 부여된 경우 취약으로 본다.
- 점검내용(dba_tab_privs) 상 'WITH GRANT OPTION(grantable=YES) 보유 일반계정 객체권한'이 '(없음)'으로, 일반계정에 직접 부여된 GRANT OPTION이 존재하지 않는다.
- 인가되지 않은(ROLE이 아닌) GRANT OPTION 사용 흔적이 없으므로 양호로 판정한다.</t>
        </is>
      </c>
      <c r="H26" s="2" t="inlineStr"/>
    </row>
    <row r="27">
      <c r="B27" s="15" t="n"/>
      <c r="C27" s="9" t="inlineStr">
        <is>
          <t>D-22</t>
        </is>
      </c>
      <c r="D27" s="2" t="inlineStr">
        <is>
          <t>데이터베이스의 자원 제한 기능을 TRUE로 설정</t>
        </is>
      </c>
      <c r="E27" s="2" t="inlineStr">
        <is>
          <t>양호 : RESOURCE_LIMIT 설정이 TRUE로 되어있는 경우
취약 : RESOURCE_LIMIT 설정이 FALSE로 되어있는 경우</t>
        </is>
      </c>
      <c r="F27" s="17" t="inlineStr">
        <is>
          <t>취약</t>
        </is>
      </c>
      <c r="G27" s="2" t="inlineStr">
        <is>
          <t>- 판단기준상 RESOURCE_LIMIT 설정이 TRUE인 경우에만 양호로 판정함
- 점검내용(로우데이터)에 'RESOURCE_LIMIT=FALSE'로 명시되어 있어 자원 제한 기능이 비활성화된 상태임
- v$parameter의 RESOURCE_LIMIT 값이 FALSE이므로 취약 조건에 정확히 일치함</t>
        </is>
      </c>
      <c r="H27" s="2" t="inlineStr">
        <is>
          <t>RESOURCE_LIMIT 설정을 TRUE로 설정 변경</t>
        </is>
      </c>
    </row>
    <row r="28">
      <c r="B28" s="15" t="n"/>
      <c r="C28" s="9" t="inlineStr">
        <is>
          <t>D-23</t>
        </is>
      </c>
      <c r="D28" s="2" t="inlineStr">
        <is>
          <t>xp_cmdshell 사용 제한</t>
        </is>
      </c>
      <c r="E28" s="2" t="inlineStr">
        <is>
          <t>양호 : xp_cmdshell이 비활성화 되어 있거나, 활성화 되어 있으면 다음의 조건을 모두 만족하는 경우 1. public의 실행(Execute) 권한이 부여되어 있지 않은 경우 2. 서비스 계정(애플리케이션 연동)에 sysadmin 권한이 부여되어 있지 않은 경우
취약 : xp_cmdshell이 활성화 되어 있고, 양호의 조건을 만족하지 않는 경우</t>
        </is>
      </c>
      <c r="F28" s="16" t="inlineStr">
        <is>
          <t>N/A</t>
        </is>
      </c>
      <c r="G28" s="2" t="inlineStr">
        <is>
          <t>- D-23(xp_cmdshell 사용 제한)은 MSSQL 전용 점검 항목으로, 점검내용 로우데이터에도 'MSSQL 전용 항목'으로 명시되어 있음
- 현재 진단대상은 DBMS(Oracle)이며, Oracle에는 xp_cmdshell 확장 저장 프로시저가 존재하지 않아 점검 대상 자체가 성립하지 않음
- 따라서 해당 항목은 진단대상의 점검 대상이 아니므로 N/A로 판정함</t>
        </is>
      </c>
      <c r="H28" s="2" t="inlineStr"/>
    </row>
    <row r="29">
      <c r="B29" s="15" t="n"/>
      <c r="C29" s="9" t="inlineStr">
        <is>
          <t>D-24</t>
        </is>
      </c>
      <c r="D29" s="2" t="inlineStr">
        <is>
          <t>Registry Procedure 권한 제한</t>
        </is>
      </c>
      <c r="E29" s="2" t="inlineStr">
        <is>
          <t>양호 : 제한이 필요한 시스템 확장 저장 프로시저들이 DBA 외 guest/public에게 부여되지 않은 경우
취약 : 제한이 필요한 시스템 확장 저장 프로시저들이 DBA 외 guest/public에게 부여된 경우</t>
        </is>
      </c>
      <c r="F29" s="16" t="inlineStr">
        <is>
          <t>N/A</t>
        </is>
      </c>
      <c r="G29" s="2" t="inlineStr">
        <is>
          <t>- 판단기준은 '제한이 필요한 시스템 확장 저장 프로시저(Extended Stored Procedure)가 DBA 외 guest/public에게 부여되었는지'를 점검하는 것으로, 이는 MSSQL의 보안 점검 항목임
- 점검내용(로우데이터)에 'MSSQL 전용 항목'으로 명시되어 있어, 진단대상인 DBMS(Oracle)에는 해당 개념(xp_ 계열 확장 저장 프로시저)이 존재하지 않음
- 따라서 본 항목은 Oracle 진단대상의 점검 대상이 아니므로 N/A로 판정함</t>
        </is>
      </c>
      <c r="H29" s="2" t="inlineStr"/>
    </row>
    <row r="30">
      <c r="B30" s="9" t="inlineStr">
        <is>
          <t>패치 관리</t>
        </is>
      </c>
      <c r="C30" s="9" t="inlineStr">
        <is>
          <t>D-25</t>
        </is>
      </c>
      <c r="D30" s="2" t="inlineStr">
        <is>
          <t>주기적 보안 패치 및 벤더 권고사항 적용</t>
        </is>
      </c>
      <c r="E30" s="2" t="inlineStr">
        <is>
          <t>양호 : 보안 패치가 적용된 버전을 사용하는 경우
취약 : 보안 패치가 적용되지 않는 버전을 사용하는 경우</t>
        </is>
      </c>
      <c r="F30" s="17" t="inlineStr">
        <is>
          <t>취약</t>
        </is>
      </c>
      <c r="G30" s="2" t="inlineStr">
        <is>
          <t>- 판단기준은 '보안 패치가 적용된 버전을 사용하는 경우' 양호, '적용되지 않는 버전'이면 취약으로 규정함
- 점검내용의 '최근 패치 적용일: 기록 없음' 라인은 dba_registry_sqlpatch 상 적용된 패치 이력이 전혀 존재하지 않음을 의미하므로 보안 패치 미적용 상태로 판단됨
- 버전 21.0.0.0 은 패치 레벨이 모두 0(.0.0.0)인 베이스 릴리즈로, 분기별 RU/RUR 등 보안 패치가 반영되지 않은 버전임
- 패치 적용 증적이 없고 최신 보안 패치 적용 여부를 확인할 수 없어 보수적으로 '취약'으로 판정함</t>
        </is>
      </c>
      <c r="H30" s="2" t="inlineStr">
        <is>
          <t>보안 패치가 적용된 버전으로 업데이트</t>
        </is>
      </c>
    </row>
    <row r="31">
      <c r="B31" s="15" t="n"/>
      <c r="C31" s="9" t="inlineStr">
        <is>
          <t>D-26</t>
        </is>
      </c>
      <c r="D31" s="2" t="inlineStr">
        <is>
          <t>데이터베이스 감사 기록 설정</t>
        </is>
      </c>
      <c r="E31" s="2" t="inlineStr">
        <is>
          <t>양호 : DBMS의 감사 로그 저장 정책이 수립되어 있으며, 정책 설정이 적용된 경우
취약 : DBMS에 대한 감사 로그 저장을 하지 않거나, 정책 설정이 적용되지 않은 경우</t>
        </is>
      </c>
      <c r="F31" s="14" t="inlineStr">
        <is>
          <t>양호</t>
        </is>
      </c>
      <c r="G31" s="2" t="inlineStr">
        <is>
          <t>- 판단기준의 '감사 로그 저장 정책 수립' 조건 ↔ 점검내용 'AUDIT_TRAIL=D' 라인: 전통 감사(AUDIT_TRAIL)가 'NONE'이 아닌 'DB'로 설정되어 있어 감사 로그가 데이터베이스에 저장되도록 활성화되어 있음
- 판단기준의 '정책 설정이 적용된 경우' 조건 ↔ 점검내용 '활성 통합감사정책 수=2' 라인: 활성화된 통합감사정책이 2개 존재하여 감사 정책이 실제로 적용되고 있음
- 'Unified Auditing=F'로 통합감사 모드는 비활성(혼합 모드)이나, AUDIT_TRAIL=D로 전통 감사가 동작하고 활성 통합감사정책도 존재하므로 감사 기록 미설정(AUDIT_TRAIL=NONE) 또는 정책 미적용에 해당하지 않아 취약 사유 없음</t>
        </is>
      </c>
      <c r="H31" s="2" t="inlineStr"/>
    </row>
  </sheetData>
  <mergeCells count="12">
    <mergeCell ref="H3:H5"/>
    <mergeCell ref="B22:B29"/>
    <mergeCell ref="C3:C5"/>
    <mergeCell ref="G3:G5"/>
    <mergeCell ref="B6:B14"/>
    <mergeCell ref="E3:E5"/>
    <mergeCell ref="B2:H2"/>
    <mergeCell ref="F3:F5"/>
    <mergeCell ref="D3:D5"/>
    <mergeCell ref="B3:B5"/>
    <mergeCell ref="B15:B21"/>
    <mergeCell ref="B30: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2026-06-29T08:23:57Z</dcterms:created>
  <dcterms:modified xsi:type="dcterms:W3CDTF">2026-06-29T08:23:57Z</dcterms:modified>
</cp:coreProperties>
</file>