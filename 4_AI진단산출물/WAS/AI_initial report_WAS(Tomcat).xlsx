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표지" sheetId="1" state="visible" r:id="rId1"/>
    <sheet name="1. 진단 대상" sheetId="2" state="visible" r:id="rId2"/>
    <sheet name="2-1. 요약결과(그래프)" sheetId="3" state="visible" r:id="rId3"/>
    <sheet name="2-2. 요약 진단결과" sheetId="4" state="visible" r:id="rId4"/>
    <sheet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sz val="28"/>
    </font>
    <font>
      <b val="1"/>
      <sz val="16"/>
    </font>
    <font>
      <sz val="12"/>
    </font>
    <font>
      <b val="1"/>
      <color rgb="00FFFFFF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D9C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radarChart>
        <radarStyle val="standard"/>
        <ser>
          <idx val="0"/>
          <order val="0"/>
          <tx>
            <strRef>
              <f>'2-1. 요약결과(그래프)'!C4</f>
            </strRef>
          </tx>
          <spPr>
            <a:ln w="28575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'2-1. 요약결과(그래프)'!$B$5:$B$8</f>
            </numRef>
          </cat>
          <val>
            <numRef>
              <f>'2-1. 요약결과(그래프)'!$C$5:$C$8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BFBFBF"/>
                </a:solidFill>
              </a:defRPr>
            </a:pPr>
            <a:r>
              <a:t/>
            </a:r>
            <a:endParaRPr sz="900">
              <a:solidFill>
                <a:srgbClr val="BFBFBF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22"/>
          <y val="0.06"/>
          <w val="0.5600000000000001"/>
          <h val="0.72"/>
        </manualLayout>
      </layout>
      <pieChart>
        <varyColors val="1"/>
        <ser>
          <idx val="0"/>
          <order val="0"/>
          <tx>
            <strRef>
              <f>'2-1. 요약결과(그래프)'!C27</f>
            </strRef>
          </tx>
          <spPr>
            <a:ln>
              <a:prstDash val="solid"/>
            </a:ln>
          </spPr>
          <cat>
            <numRef>
              <f>'2-1. 요약결과(그래프)'!$B$28:$B$30</f>
            </numRef>
          </cat>
          <val>
            <numRef>
              <f>'2-1. 요약결과(그래프)'!$C$28:$C$30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1"/>
        <ser>
          <idx val="0"/>
          <order val="0"/>
          <tx>
            <strRef>
              <f>'2-1. 요약결과(그래프)'!C50</f>
            </strRef>
          </tx>
          <spPr>
            <a:ln>
              <a:prstDash val="solid"/>
            </a:ln>
          </spPr>
          <cat>
            <numRef>
              <f>'2-1. 요약결과(그래프)'!$B$51:$B$54</f>
            </numRef>
          </cat>
          <val>
            <numRef>
              <f>'2-1. 요약결과(그래프)'!$C$51:$C$54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5</col>
      <colOff>0</colOff>
      <row>3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5</col>
      <colOff>0</colOff>
      <row>26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49</row>
      <rowOff>0</rowOff>
    </from>
    <to>
      <col>11</col>
      <colOff>0</colOff>
      <row>68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30" customWidth="1" min="12" max="12"/>
  </cols>
  <sheetData>
    <row r="3" ht="22" customHeight="1">
      <c r="K3" s="1" t="inlineStr">
        <is>
          <t>문서번호</t>
        </is>
      </c>
      <c r="L3" s="2" t="inlineStr">
        <is>
          <t>CHECKBANG-VA-2026-001</t>
        </is>
      </c>
    </row>
    <row r="4" ht="22" customHeight="1">
      <c r="K4" s="1" t="inlineStr">
        <is>
          <t>작성자</t>
        </is>
      </c>
      <c r="L4" s="2" t="inlineStr">
        <is>
          <t>취약점진단팀</t>
        </is>
      </c>
    </row>
    <row r="5" ht="22" customHeight="1">
      <c r="K5" s="1" t="inlineStr">
        <is>
          <t>보안등급</t>
        </is>
      </c>
      <c r="L5" s="2" t="inlineStr">
        <is>
          <t>Confidential</t>
        </is>
      </c>
    </row>
    <row r="6" ht="22" customHeight="1">
      <c r="K6" s="1" t="inlineStr">
        <is>
          <t>Ver</t>
        </is>
      </c>
      <c r="L6" s="2" t="inlineStr">
        <is>
          <t>ver 1.0</t>
        </is>
      </c>
    </row>
    <row r="11" ht="40" customHeight="1">
      <c r="B11" s="3" t="inlineStr">
        <is>
          <t>Check방 취약점 진단</t>
        </is>
      </c>
    </row>
    <row r="13" ht="30" customHeight="1">
      <c r="B13" s="4" t="inlineStr">
        <is>
          <t>취약점 진단 상세결과</t>
        </is>
      </c>
    </row>
    <row r="18">
      <c r="B18" s="5" t="inlineStr">
        <is>
          <t>2026-06-29</t>
        </is>
      </c>
    </row>
  </sheetData>
  <mergeCells count="3">
    <mergeCell ref="B13:L13"/>
    <mergeCell ref="B11:L11"/>
    <mergeCell ref="B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17" customWidth="1" min="3" max="3"/>
    <col width="14" customWidth="1" min="4" max="4"/>
    <col width="20" customWidth="1" min="5" max="5"/>
    <col width="6" customWidth="1" min="6" max="6"/>
    <col width="16" customWidth="1" min="7" max="7"/>
  </cols>
  <sheetData>
    <row r="1" ht="26" customHeight="1">
      <c r="B1" s="6" t="inlineStr">
        <is>
          <t xml:space="preserve">  ※ 진단 대상 리스트</t>
        </is>
      </c>
    </row>
    <row r="2">
      <c r="B2" s="7" t="inlineStr">
        <is>
          <t>순번</t>
        </is>
      </c>
      <c r="C2" s="7" t="inlineStr">
        <is>
          <t>진단 대상</t>
        </is>
      </c>
      <c r="D2" s="8" t="n"/>
      <c r="E2" s="8" t="n"/>
      <c r="F2" s="8" t="n"/>
      <c r="G2" s="7" t="inlineStr">
        <is>
          <t>비고</t>
        </is>
      </c>
    </row>
    <row r="3">
      <c r="B3" s="8" t="n"/>
      <c r="C3" s="7" t="inlineStr">
        <is>
          <t>Hostname</t>
        </is>
      </c>
      <c r="D3" s="7" t="inlineStr">
        <is>
          <t>IP Address</t>
        </is>
      </c>
      <c r="E3" s="7" t="inlineStr">
        <is>
          <t>버전정보</t>
        </is>
      </c>
      <c r="F3" s="7" t="inlineStr">
        <is>
          <t>용도</t>
        </is>
      </c>
      <c r="G3" s="8" t="n"/>
    </row>
    <row r="4" ht="24" customHeight="1">
      <c r="B4" s="9" t="n">
        <v>1</v>
      </c>
      <c r="C4" s="9" t="inlineStr">
        <is>
          <t>ip-10-0-128-149</t>
        </is>
      </c>
      <c r="D4" s="9" t="inlineStr">
        <is>
          <t>10.0.128.149</t>
        </is>
      </c>
      <c r="E4" s="9" t="inlineStr">
        <is>
          <t>Tomcat 9.0.118</t>
        </is>
      </c>
      <c r="F4" s="9" t="inlineStr"/>
      <c r="G4" s="9" t="inlineStr">
        <is>
          <t>-</t>
        </is>
      </c>
    </row>
  </sheetData>
  <mergeCells count="3">
    <mergeCell ref="C2:F2"/>
    <mergeCell ref="G2:G3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</cols>
  <sheetData>
    <row r="2" ht="22" customHeight="1">
      <c r="F2" s="10" t="inlineStr">
        <is>
          <t>항목별 양호 비율</t>
        </is>
      </c>
      <c r="G2" s="11" t="n"/>
      <c r="H2" s="11" t="n"/>
      <c r="I2" s="11" t="n"/>
      <c r="J2" s="11" t="n"/>
      <c r="K2" s="11" t="n"/>
    </row>
    <row r="4">
      <c r="B4" s="7" t="inlineStr">
        <is>
          <t>진단 도메인</t>
        </is>
      </c>
      <c r="C4" s="7" t="inlineStr">
        <is>
          <t>평균 점수</t>
        </is>
      </c>
    </row>
    <row r="5">
      <c r="B5" s="9" t="inlineStr">
        <is>
          <t>계정 관리</t>
        </is>
      </c>
      <c r="C5" s="12">
        <f>'2-2. 요약 진단결과'!H6</f>
        <v/>
      </c>
    </row>
    <row r="6">
      <c r="B6" s="9" t="inlineStr">
        <is>
          <t>서비스 관리</t>
        </is>
      </c>
      <c r="C6" s="12">
        <f>'2-2. 요약 진단결과'!H9</f>
        <v/>
      </c>
    </row>
    <row r="7">
      <c r="B7" s="9" t="inlineStr">
        <is>
          <t>보안 설정</t>
        </is>
      </c>
      <c r="C7" s="12">
        <f>'2-2. 요약 진단결과'!H24</f>
        <v/>
      </c>
    </row>
    <row r="8">
      <c r="B8" s="9" t="inlineStr">
        <is>
          <t>패치 및 로그 관리</t>
        </is>
      </c>
      <c r="C8" s="12">
        <f>'2-2. 요약 진단결과'!H29</f>
        <v/>
      </c>
    </row>
    <row r="25" ht="22" customHeight="1">
      <c r="F25" s="10" t="inlineStr">
        <is>
          <t>양호 / 취약 / N/A 비율</t>
        </is>
      </c>
      <c r="G25" s="11" t="n"/>
      <c r="H25" s="11" t="n"/>
      <c r="I25" s="11" t="n"/>
      <c r="J25" s="11" t="n"/>
      <c r="K25" s="11" t="n"/>
    </row>
    <row r="27">
      <c r="B27" s="7" t="inlineStr">
        <is>
          <t>상태</t>
        </is>
      </c>
      <c r="C27" s="7" t="inlineStr">
        <is>
          <t>개수</t>
        </is>
      </c>
    </row>
    <row r="28">
      <c r="B28" s="9" t="inlineStr">
        <is>
          <t>양호</t>
        </is>
      </c>
      <c r="C28" s="9">
        <f>SUM('2-2. 요약 진단결과'!J6:J31)</f>
        <v/>
      </c>
    </row>
    <row r="29">
      <c r="B29" s="9" t="inlineStr">
        <is>
          <t>취약</t>
        </is>
      </c>
      <c r="C29" s="9">
        <f>SUM('2-2. 요약 진단결과'!K6:K31)</f>
        <v/>
      </c>
    </row>
    <row r="30">
      <c r="B30" s="9" t="inlineStr">
        <is>
          <t>N/A</t>
        </is>
      </c>
      <c r="C30" s="9">
        <f>SUM('2-2. 요약 진단결과'!L6:L31)</f>
        <v/>
      </c>
    </row>
    <row r="48" ht="22" customHeight="1">
      <c r="F48" s="10" t="inlineStr">
        <is>
          <t>영역별 취약 수</t>
        </is>
      </c>
      <c r="G48" s="11" t="n"/>
      <c r="H48" s="11" t="n"/>
      <c r="I48" s="11" t="n"/>
      <c r="J48" s="11" t="n"/>
      <c r="K48" s="11" t="n"/>
    </row>
    <row r="50">
      <c r="B50" s="7" t="inlineStr">
        <is>
          <t>영역</t>
        </is>
      </c>
      <c r="C50" s="7" t="inlineStr">
        <is>
          <t>취약 수</t>
        </is>
      </c>
    </row>
    <row r="51">
      <c r="B51" s="9" t="inlineStr">
        <is>
          <t>계정 관리</t>
        </is>
      </c>
      <c r="C51" s="9">
        <f>SUM('2-2. 요약 진단결과'!K6:K8)</f>
        <v/>
      </c>
    </row>
    <row r="52">
      <c r="B52" s="9" t="inlineStr">
        <is>
          <t>서비스 관리</t>
        </is>
      </c>
      <c r="C52" s="9">
        <f>SUM('2-2. 요약 진단결과'!K9:K23)</f>
        <v/>
      </c>
    </row>
    <row r="53">
      <c r="B53" s="9" t="inlineStr">
        <is>
          <t>보안 설정</t>
        </is>
      </c>
      <c r="C53" s="9">
        <f>SUM('2-2. 요약 진단결과'!K24:K28)</f>
        <v/>
      </c>
    </row>
    <row r="54">
      <c r="B54" s="9" t="inlineStr">
        <is>
          <t>패치 및 로그 관리</t>
        </is>
      </c>
      <c r="C54" s="9">
        <f>SUM('2-2. 요약 진단결과'!K29:K31)</f>
        <v/>
      </c>
    </row>
  </sheetData>
  <mergeCells count="3">
    <mergeCell ref="F2:K2"/>
    <mergeCell ref="F25:K25"/>
    <mergeCell ref="F48:K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8" customWidth="1" min="3" max="3"/>
    <col width="47" customWidth="1" min="4" max="4"/>
    <col width="10" customWidth="1" min="5" max="5"/>
    <col width="14" customWidth="1" min="6" max="6"/>
    <col width="2.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/>
    <row r="2" ht="28" customHeight="1">
      <c r="B2" s="13" t="inlineStr">
        <is>
          <t>Check방 취약점 진단 요약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중요도</t>
        </is>
      </c>
      <c r="F3" s="7" t="inlineStr">
        <is>
          <t>진단결과</t>
        </is>
      </c>
    </row>
    <row r="4">
      <c r="B4" s="8" t="n"/>
      <c r="C4" s="8" t="n"/>
      <c r="D4" s="8" t="n"/>
      <c r="E4" s="8" t="n"/>
      <c r="F4" s="7" t="inlineStr">
        <is>
          <t>WAS(Tomcat)</t>
        </is>
      </c>
    </row>
    <row r="5">
      <c r="B5" s="8" t="n"/>
      <c r="C5" s="8" t="n"/>
      <c r="D5" s="8" t="n"/>
      <c r="E5" s="8" t="n"/>
      <c r="F5" s="7" t="inlineStr">
        <is>
          <t>10.0.128.149</t>
        </is>
      </c>
      <c r="H5" s="7" t="inlineStr">
        <is>
          <t>영역별점수</t>
        </is>
      </c>
      <c r="I5" s="7" t="inlineStr">
        <is>
          <t>점수</t>
        </is>
      </c>
      <c r="J5" s="7" t="inlineStr">
        <is>
          <t>양호</t>
        </is>
      </c>
      <c r="K5" s="7" t="inlineStr">
        <is>
          <t>취약</t>
        </is>
      </c>
      <c r="L5" s="7" t="inlineStr">
        <is>
          <t>N/A</t>
        </is>
      </c>
    </row>
    <row r="6">
      <c r="B6" s="9" t="inlineStr">
        <is>
          <t>계정 관리</t>
        </is>
      </c>
      <c r="C6" s="9" t="inlineStr">
        <is>
          <t>WEB-01</t>
        </is>
      </c>
      <c r="D6" s="2" t="inlineStr">
        <is>
          <t>Default 관리자 계정명 변경</t>
        </is>
      </c>
      <c r="E6" s="9" t="inlineStr">
        <is>
          <t>상</t>
        </is>
      </c>
      <c r="F6" s="14" t="inlineStr">
        <is>
          <t>취약</t>
        </is>
      </c>
      <c r="H6" s="12">
        <f>IF(COUNTIF(I6:I8,"N/A")=COUNTA(I6:I8),"N/A",AVERAGE(I6:I8))</f>
        <v/>
      </c>
      <c r="I6" s="12">
        <f>IF(COUNTIF($F6:$F6,"N/A")=COUNTA($F6:$F6),"N/A",$J6/(COUNTA($F6:$F6)-$L6))</f>
        <v/>
      </c>
      <c r="J6" s="9">
        <f>COUNTIF($F6:$F6,"양호")</f>
        <v/>
      </c>
      <c r="K6" s="9">
        <f>COUNTIF($F6:$F6,"취약")</f>
        <v/>
      </c>
      <c r="L6" s="9">
        <f>COUNTIF($F6:$F6,"N/A")</f>
        <v/>
      </c>
    </row>
    <row r="7">
      <c r="B7" s="15" t="n"/>
      <c r="C7" s="9" t="inlineStr">
        <is>
          <t>WEB-02</t>
        </is>
      </c>
      <c r="D7" s="2" t="inlineStr">
        <is>
          <t>취약한 비밀번호 사용 제한</t>
        </is>
      </c>
      <c r="E7" s="9" t="inlineStr">
        <is>
          <t>상</t>
        </is>
      </c>
      <c r="F7" s="14" t="inlineStr">
        <is>
          <t>취약</t>
        </is>
      </c>
      <c r="H7" s="15" t="n"/>
      <c r="I7" s="12">
        <f>IF(COUNTIF($F7:$F7,"N/A")=COUNTA($F7:$F7),"N/A",$J7/(COUNTA($F7:$F7)-$L7))</f>
        <v/>
      </c>
      <c r="J7" s="9">
        <f>COUNTIF($F7:$F7,"양호")</f>
        <v/>
      </c>
      <c r="K7" s="9">
        <f>COUNTIF($F7:$F7,"취약")</f>
        <v/>
      </c>
      <c r="L7" s="9">
        <f>COUNTIF($F7:$F7,"N/A")</f>
        <v/>
      </c>
    </row>
    <row r="8">
      <c r="B8" s="15" t="n"/>
      <c r="C8" s="9" t="inlineStr">
        <is>
          <t>WEB-03</t>
        </is>
      </c>
      <c r="D8" s="2" t="inlineStr">
        <is>
          <t>비밀번호 파일 권한 관리</t>
        </is>
      </c>
      <c r="E8" s="9" t="inlineStr">
        <is>
          <t>상</t>
        </is>
      </c>
      <c r="F8" s="14" t="inlineStr">
        <is>
          <t>취약</t>
        </is>
      </c>
      <c r="H8" s="15" t="n"/>
      <c r="I8" s="12">
        <f>IF(COUNTIF($F8:$F8,"N/A")=COUNTA($F8:$F8),"N/A",$J8/(COUNTA($F8:$F8)-$L8))</f>
        <v/>
      </c>
      <c r="J8" s="9">
        <f>COUNTIF($F8:$F8,"양호")</f>
        <v/>
      </c>
      <c r="K8" s="9">
        <f>COUNTIF($F8:$F8,"취약")</f>
        <v/>
      </c>
      <c r="L8" s="9">
        <f>COUNTIF($F8:$F8,"N/A")</f>
        <v/>
      </c>
    </row>
    <row r="9">
      <c r="B9" s="9" t="inlineStr">
        <is>
          <t>서비스 관리</t>
        </is>
      </c>
      <c r="C9" s="9" t="inlineStr">
        <is>
          <t>WEB-04</t>
        </is>
      </c>
      <c r="D9" s="2" t="inlineStr">
        <is>
          <t>웹 서비스 디렉터리 리스팅 방지 설정</t>
        </is>
      </c>
      <c r="E9" s="9" t="inlineStr">
        <is>
          <t>상</t>
        </is>
      </c>
      <c r="F9" s="14" t="inlineStr">
        <is>
          <t>취약</t>
        </is>
      </c>
      <c r="H9" s="12">
        <f>IF(COUNTIF(I9:I23,"N/A")=COUNTA(I9:I23),"N/A",AVERAGE(I9:I23))</f>
        <v/>
      </c>
      <c r="I9" s="12">
        <f>IF(COUNTIF($F9:$F9,"N/A")=COUNTA($F9:$F9),"N/A",$J9/(COUNTA($F9:$F9)-$L9))</f>
        <v/>
      </c>
      <c r="J9" s="9">
        <f>COUNTIF($F9:$F9,"양호")</f>
        <v/>
      </c>
      <c r="K9" s="9">
        <f>COUNTIF($F9:$F9,"취약")</f>
        <v/>
      </c>
      <c r="L9" s="9">
        <f>COUNTIF($F9:$F9,"N/A")</f>
        <v/>
      </c>
    </row>
    <row r="10">
      <c r="B10" s="15" t="n"/>
      <c r="C10" s="9" t="inlineStr">
        <is>
          <t>WEB-05</t>
        </is>
      </c>
      <c r="D10" s="2" t="inlineStr">
        <is>
          <t>지정하지 않은 CGI/ISAPI 실행 제한</t>
        </is>
      </c>
      <c r="E10" s="9" t="inlineStr">
        <is>
          <t>상</t>
        </is>
      </c>
      <c r="F10" s="14" t="inlineStr">
        <is>
          <t>취약</t>
        </is>
      </c>
      <c r="H10" s="15" t="n"/>
      <c r="I10" s="12">
        <f>IF(COUNTIF($F10:$F10,"N/A")=COUNTA($F10:$F10),"N/A",$J10/(COUNTA($F10:$F10)-$L10))</f>
        <v/>
      </c>
      <c r="J10" s="9">
        <f>COUNTIF($F10:$F10,"양호")</f>
        <v/>
      </c>
      <c r="K10" s="9">
        <f>COUNTIF($F10:$F10,"취약")</f>
        <v/>
      </c>
      <c r="L10" s="9">
        <f>COUNTIF($F10:$F10,"N/A")</f>
        <v/>
      </c>
    </row>
    <row r="11">
      <c r="B11" s="15" t="n"/>
      <c r="C11" s="9" t="inlineStr">
        <is>
          <t>WEB-06</t>
        </is>
      </c>
      <c r="D11" s="2" t="inlineStr">
        <is>
          <t>웹 서비스 상위 디렉터리 접근 제한 설정</t>
        </is>
      </c>
      <c r="E11" s="9" t="inlineStr">
        <is>
          <t>상</t>
        </is>
      </c>
      <c r="F11" s="16" t="inlineStr">
        <is>
          <t>양호</t>
        </is>
      </c>
      <c r="H11" s="15" t="n"/>
      <c r="I11" s="12">
        <f>IF(COUNTIF($F11:$F11,"N/A")=COUNTA($F11:$F11),"N/A",$J11/(COUNTA($F11:$F11)-$L11))</f>
        <v/>
      </c>
      <c r="J11" s="9">
        <f>COUNTIF($F11:$F11,"양호")</f>
        <v/>
      </c>
      <c r="K11" s="9">
        <f>COUNTIF($F11:$F11,"취약")</f>
        <v/>
      </c>
      <c r="L11" s="9">
        <f>COUNTIF($F11:$F11,"N/A")</f>
        <v/>
      </c>
    </row>
    <row r="12">
      <c r="B12" s="15" t="n"/>
      <c r="C12" s="9" t="inlineStr">
        <is>
          <t>WEB-07</t>
        </is>
      </c>
      <c r="D12" s="2" t="inlineStr">
        <is>
          <t>웹 서비스 경로 내 불필요한 파일 제거</t>
        </is>
      </c>
      <c r="E12" s="9" t="inlineStr">
        <is>
          <t>중</t>
        </is>
      </c>
      <c r="F12" s="16" t="inlineStr">
        <is>
          <t>양호</t>
        </is>
      </c>
      <c r="H12" s="15" t="n"/>
      <c r="I12" s="12">
        <f>IF(COUNTIF($F12:$F12,"N/A")=COUNTA($F12:$F12),"N/A",$J12/(COUNTA($F12:$F12)-$L12))</f>
        <v/>
      </c>
      <c r="J12" s="9">
        <f>COUNTIF($F12:$F12,"양호")</f>
        <v/>
      </c>
      <c r="K12" s="9">
        <f>COUNTIF($F12:$F12,"취약")</f>
        <v/>
      </c>
      <c r="L12" s="9">
        <f>COUNTIF($F12:$F12,"N/A")</f>
        <v/>
      </c>
    </row>
    <row r="13">
      <c r="B13" s="15" t="n"/>
      <c r="C13" s="9" t="inlineStr">
        <is>
          <t>WEB-08</t>
        </is>
      </c>
      <c r="D13" s="2" t="inlineStr">
        <is>
          <t>웹 서비스 파일 업로드 및 다운로드 용량 제한</t>
        </is>
      </c>
      <c r="E13" s="9" t="inlineStr">
        <is>
          <t>하</t>
        </is>
      </c>
      <c r="F13" s="16" t="inlineStr">
        <is>
          <t>양호</t>
        </is>
      </c>
      <c r="H13" s="15" t="n"/>
      <c r="I13" s="12">
        <f>IF(COUNTIF($F13:$F13,"N/A")=COUNTA($F13:$F13),"N/A",$J13/(COUNTA($F13:$F13)-$L13))</f>
        <v/>
      </c>
      <c r="J13" s="9">
        <f>COUNTIF($F13:$F13,"양호")</f>
        <v/>
      </c>
      <c r="K13" s="9">
        <f>COUNTIF($F13:$F13,"취약")</f>
        <v/>
      </c>
      <c r="L13" s="9">
        <f>COUNTIF($F13:$F13,"N/A")</f>
        <v/>
      </c>
    </row>
    <row r="14">
      <c r="B14" s="15" t="n"/>
      <c r="C14" s="9" t="inlineStr">
        <is>
          <t>WEB-09</t>
        </is>
      </c>
      <c r="D14" s="2" t="inlineStr">
        <is>
          <t>웹 서비스 프로세스 권한 제한</t>
        </is>
      </c>
      <c r="E14" s="9" t="inlineStr">
        <is>
          <t>상</t>
        </is>
      </c>
      <c r="F14" s="16" t="inlineStr">
        <is>
          <t>양호</t>
        </is>
      </c>
      <c r="H14" s="15" t="n"/>
      <c r="I14" s="12">
        <f>IF(COUNTIF($F14:$F14,"N/A")=COUNTA($F14:$F14),"N/A",$J14/(COUNTA($F14:$F14)-$L14))</f>
        <v/>
      </c>
      <c r="J14" s="9">
        <f>COUNTIF($F14:$F14,"양호")</f>
        <v/>
      </c>
      <c r="K14" s="9">
        <f>COUNTIF($F14:$F14,"취약")</f>
        <v/>
      </c>
      <c r="L14" s="9">
        <f>COUNTIF($F14:$F14,"N/A")</f>
        <v/>
      </c>
    </row>
    <row r="15">
      <c r="B15" s="15" t="n"/>
      <c r="C15" s="9" t="inlineStr">
        <is>
          <t>WEB-10</t>
        </is>
      </c>
      <c r="D15" s="2" t="inlineStr">
        <is>
          <t>불필요한 프록시 설정 제한</t>
        </is>
      </c>
      <c r="E15" s="9" t="inlineStr">
        <is>
          <t>상</t>
        </is>
      </c>
      <c r="F15" s="16" t="inlineStr">
        <is>
          <t>양호</t>
        </is>
      </c>
      <c r="H15" s="15" t="n"/>
      <c r="I15" s="12">
        <f>IF(COUNTIF($F15:$F15,"N/A")=COUNTA($F15:$F15),"N/A",$J15/(COUNTA($F15:$F15)-$L15))</f>
        <v/>
      </c>
      <c r="J15" s="9">
        <f>COUNTIF($F15:$F15,"양호")</f>
        <v/>
      </c>
      <c r="K15" s="9">
        <f>COUNTIF($F15:$F15,"취약")</f>
        <v/>
      </c>
      <c r="L15" s="9">
        <f>COUNTIF($F15:$F15,"N/A")</f>
        <v/>
      </c>
    </row>
    <row r="16">
      <c r="B16" s="15" t="n"/>
      <c r="C16" s="9" t="inlineStr">
        <is>
          <t>WEB-11</t>
        </is>
      </c>
      <c r="D16" s="2" t="inlineStr">
        <is>
          <t>웹 서비스 경로 설정</t>
        </is>
      </c>
      <c r="E16" s="9" t="inlineStr">
        <is>
          <t>중</t>
        </is>
      </c>
      <c r="F16" s="16" t="inlineStr">
        <is>
          <t>양호</t>
        </is>
      </c>
      <c r="H16" s="15" t="n"/>
      <c r="I16" s="12">
        <f>IF(COUNTIF($F16:$F16,"N/A")=COUNTA($F16:$F16),"N/A",$J16/(COUNTA($F16:$F16)-$L16))</f>
        <v/>
      </c>
      <c r="J16" s="9">
        <f>COUNTIF($F16:$F16,"양호")</f>
        <v/>
      </c>
      <c r="K16" s="9">
        <f>COUNTIF($F16:$F16,"취약")</f>
        <v/>
      </c>
      <c r="L16" s="9">
        <f>COUNTIF($F16:$F16,"N/A")</f>
        <v/>
      </c>
    </row>
    <row r="17">
      <c r="B17" s="15" t="n"/>
      <c r="C17" s="9" t="inlineStr">
        <is>
          <t>WEB-12</t>
        </is>
      </c>
      <c r="D17" s="2" t="inlineStr">
        <is>
          <t>웹 서비스 링크 사용 금지</t>
        </is>
      </c>
      <c r="E17" s="9" t="inlineStr">
        <is>
          <t>중</t>
        </is>
      </c>
      <c r="F17" s="16" t="inlineStr">
        <is>
          <t>양호</t>
        </is>
      </c>
      <c r="H17" s="15" t="n"/>
      <c r="I17" s="12">
        <f>IF(COUNTIF($F17:$F17,"N/A")=COUNTA($F17:$F17),"N/A",$J17/(COUNTA($F17:$F17)-$L17))</f>
        <v/>
      </c>
      <c r="J17" s="9">
        <f>COUNTIF($F17:$F17,"양호")</f>
        <v/>
      </c>
      <c r="K17" s="9">
        <f>COUNTIF($F17:$F17,"취약")</f>
        <v/>
      </c>
      <c r="L17" s="9">
        <f>COUNTIF($F17:$F17,"N/A")</f>
        <v/>
      </c>
    </row>
    <row r="18">
      <c r="B18" s="15" t="n"/>
      <c r="C18" s="9" t="inlineStr">
        <is>
          <t>WEB-13</t>
        </is>
      </c>
      <c r="D18" s="2" t="inlineStr">
        <is>
          <t>웹 서비스 설정 파일 노출 제한</t>
        </is>
      </c>
      <c r="E18" s="9" t="inlineStr">
        <is>
          <t>상</t>
        </is>
      </c>
      <c r="F18" s="16" t="inlineStr">
        <is>
          <t>양호</t>
        </is>
      </c>
      <c r="H18" s="15" t="n"/>
      <c r="I18" s="12">
        <f>IF(COUNTIF($F18:$F18,"N/A")=COUNTA($F18:$F18),"N/A",$J18/(COUNTA($F18:$F18)-$L18))</f>
        <v/>
      </c>
      <c r="J18" s="9">
        <f>COUNTIF($F18:$F18,"양호")</f>
        <v/>
      </c>
      <c r="K18" s="9">
        <f>COUNTIF($F18:$F18,"취약")</f>
        <v/>
      </c>
      <c r="L18" s="9">
        <f>COUNTIF($F18:$F18,"N/A")</f>
        <v/>
      </c>
    </row>
    <row r="19">
      <c r="B19" s="15" t="n"/>
      <c r="C19" s="9" t="inlineStr">
        <is>
          <t>WEB-14</t>
        </is>
      </c>
      <c r="D19" s="2" t="inlineStr">
        <is>
          <t>웹 서비스 경로 내 파일의 접근 통제</t>
        </is>
      </c>
      <c r="E19" s="9" t="inlineStr">
        <is>
          <t>상</t>
        </is>
      </c>
      <c r="F19" s="16" t="inlineStr">
        <is>
          <t>양호</t>
        </is>
      </c>
      <c r="H19" s="15" t="n"/>
      <c r="I19" s="12">
        <f>IF(COUNTIF($F19:$F19,"N/A")=COUNTA($F19:$F19),"N/A",$J19/(COUNTA($F19:$F19)-$L19))</f>
        <v/>
      </c>
      <c r="J19" s="9">
        <f>COUNTIF($F19:$F19,"양호")</f>
        <v/>
      </c>
      <c r="K19" s="9">
        <f>COUNTIF($F19:$F19,"취약")</f>
        <v/>
      </c>
      <c r="L19" s="9">
        <f>COUNTIF($F19:$F19,"N/A")</f>
        <v/>
      </c>
    </row>
    <row r="20">
      <c r="B20" s="15" t="n"/>
      <c r="C20" s="9" t="inlineStr">
        <is>
          <t>WEB-15</t>
        </is>
      </c>
      <c r="D20" s="2" t="inlineStr">
        <is>
          <t>웹 서비스의 불필요한 스크립트 매핑 제거</t>
        </is>
      </c>
      <c r="E20" s="9" t="inlineStr">
        <is>
          <t>상</t>
        </is>
      </c>
      <c r="F20" s="16" t="inlineStr">
        <is>
          <t>양호</t>
        </is>
      </c>
      <c r="H20" s="15" t="n"/>
      <c r="I20" s="12">
        <f>IF(COUNTIF($F20:$F20,"N/A")=COUNTA($F20:$F20),"N/A",$J20/(COUNTA($F20:$F20)-$L20))</f>
        <v/>
      </c>
      <c r="J20" s="9">
        <f>COUNTIF($F20:$F20,"양호")</f>
        <v/>
      </c>
      <c r="K20" s="9">
        <f>COUNTIF($F20:$F20,"취약")</f>
        <v/>
      </c>
      <c r="L20" s="9">
        <f>COUNTIF($F20:$F20,"N/A")</f>
        <v/>
      </c>
    </row>
    <row r="21">
      <c r="B21" s="15" t="n"/>
      <c r="C21" s="9" t="inlineStr">
        <is>
          <t>WEB-16</t>
        </is>
      </c>
      <c r="D21" s="2" t="inlineStr">
        <is>
          <t>웹 서비스 헤더 정보 노출 제한</t>
        </is>
      </c>
      <c r="E21" s="9" t="inlineStr">
        <is>
          <t>중</t>
        </is>
      </c>
      <c r="F21" s="16" t="inlineStr">
        <is>
          <t>양호</t>
        </is>
      </c>
      <c r="H21" s="15" t="n"/>
      <c r="I21" s="12">
        <f>IF(COUNTIF($F21:$F21,"N/A")=COUNTA($F21:$F21),"N/A",$J21/(COUNTA($F21:$F21)-$L21))</f>
        <v/>
      </c>
      <c r="J21" s="9">
        <f>COUNTIF($F21:$F21,"양호")</f>
        <v/>
      </c>
      <c r="K21" s="9">
        <f>COUNTIF($F21:$F21,"취약")</f>
        <v/>
      </c>
      <c r="L21" s="9">
        <f>COUNTIF($F21:$F21,"N/A")</f>
        <v/>
      </c>
    </row>
    <row r="22">
      <c r="B22" s="15" t="n"/>
      <c r="C22" s="9" t="inlineStr">
        <is>
          <t>WEB-17</t>
        </is>
      </c>
      <c r="D22" s="2" t="inlineStr">
        <is>
          <t>웹 서비스 가상 디렉터리 삭제</t>
        </is>
      </c>
      <c r="E22" s="9" t="inlineStr">
        <is>
          <t>중</t>
        </is>
      </c>
      <c r="F22" s="16" t="inlineStr">
        <is>
          <t>양호</t>
        </is>
      </c>
      <c r="H22" s="15" t="n"/>
      <c r="I22" s="12">
        <f>IF(COUNTIF($F22:$F22,"N/A")=COUNTA($F22:$F22),"N/A",$J22/(COUNTA($F22:$F22)-$L22))</f>
        <v/>
      </c>
      <c r="J22" s="9">
        <f>COUNTIF($F22:$F22,"양호")</f>
        <v/>
      </c>
      <c r="K22" s="9">
        <f>COUNTIF($F22:$F22,"취약")</f>
        <v/>
      </c>
      <c r="L22" s="9">
        <f>COUNTIF($F22:$F22,"N/A")</f>
        <v/>
      </c>
    </row>
    <row r="23">
      <c r="B23" s="15" t="n"/>
      <c r="C23" s="9" t="inlineStr">
        <is>
          <t>WEB-18</t>
        </is>
      </c>
      <c r="D23" s="2" t="inlineStr">
        <is>
          <t>웹 서비스 WebDAV 비활성화</t>
        </is>
      </c>
      <c r="E23" s="9" t="inlineStr">
        <is>
          <t>상</t>
        </is>
      </c>
      <c r="F23" s="17" t="inlineStr">
        <is>
          <t>N/A</t>
        </is>
      </c>
      <c r="H23" s="15" t="n"/>
      <c r="I23" s="12">
        <f>IF(COUNTIF($F23:$F23,"N/A")=COUNTA($F23:$F23),"N/A",$J23/(COUNTA($F23:$F23)-$L23))</f>
        <v/>
      </c>
      <c r="J23" s="9">
        <f>COUNTIF($F23:$F23,"양호")</f>
        <v/>
      </c>
      <c r="K23" s="9">
        <f>COUNTIF($F23:$F23,"취약")</f>
        <v/>
      </c>
      <c r="L23" s="9">
        <f>COUNTIF($F23:$F23,"N/A")</f>
        <v/>
      </c>
    </row>
    <row r="24">
      <c r="B24" s="9" t="inlineStr">
        <is>
          <t>보안 설정</t>
        </is>
      </c>
      <c r="C24" s="9" t="inlineStr">
        <is>
          <t>WEB-19</t>
        </is>
      </c>
      <c r="D24" s="2" t="inlineStr">
        <is>
          <t>웹 서비스 SSI(Server Side Includes) 사용 제한</t>
        </is>
      </c>
      <c r="E24" s="9" t="inlineStr">
        <is>
          <t>중</t>
        </is>
      </c>
      <c r="F24" s="16" t="inlineStr">
        <is>
          <t>양호</t>
        </is>
      </c>
      <c r="H24" s="12">
        <f>IF(COUNTIF(I24:I28,"N/A")=COUNTA(I24:I28),"N/A",AVERAGE(I24:I28))</f>
        <v/>
      </c>
      <c r="I24" s="12">
        <f>IF(COUNTIF($F24:$F24,"N/A")=COUNTA($F24:$F24),"N/A",$J24/(COUNTA($F24:$F24)-$L24))</f>
        <v/>
      </c>
      <c r="J24" s="9">
        <f>COUNTIF($F24:$F24,"양호")</f>
        <v/>
      </c>
      <c r="K24" s="9">
        <f>COUNTIF($F24:$F24,"취약")</f>
        <v/>
      </c>
      <c r="L24" s="9">
        <f>COUNTIF($F24:$F24,"N/A")</f>
        <v/>
      </c>
    </row>
    <row r="25">
      <c r="B25" s="15" t="n"/>
      <c r="C25" s="9" t="inlineStr">
        <is>
          <t>WEB-20</t>
        </is>
      </c>
      <c r="D25" s="2" t="inlineStr">
        <is>
          <t>SSL/TLS 활성화</t>
        </is>
      </c>
      <c r="E25" s="9" t="inlineStr">
        <is>
          <t>상</t>
        </is>
      </c>
      <c r="F25" s="17" t="inlineStr">
        <is>
          <t>N/A</t>
        </is>
      </c>
      <c r="H25" s="15" t="n"/>
      <c r="I25" s="12">
        <f>IF(COUNTIF($F25:$F25,"N/A")=COUNTA($F25:$F25),"N/A",$J25/(COUNTA($F25:$F25)-$L25))</f>
        <v/>
      </c>
      <c r="J25" s="9">
        <f>COUNTIF($F25:$F25,"양호")</f>
        <v/>
      </c>
      <c r="K25" s="9">
        <f>COUNTIF($F25:$F25,"취약")</f>
        <v/>
      </c>
      <c r="L25" s="9">
        <f>COUNTIF($F25:$F25,"N/A")</f>
        <v/>
      </c>
    </row>
    <row r="26">
      <c r="B26" s="15" t="n"/>
      <c r="C26" s="9" t="inlineStr">
        <is>
          <t>WEB-21</t>
        </is>
      </c>
      <c r="D26" s="2" t="inlineStr">
        <is>
          <t>HTTP 리디렉션</t>
        </is>
      </c>
      <c r="E26" s="9" t="inlineStr">
        <is>
          <t>중</t>
        </is>
      </c>
      <c r="F26" s="17" t="inlineStr">
        <is>
          <t>N/A</t>
        </is>
      </c>
      <c r="H26" s="15" t="n"/>
      <c r="I26" s="12">
        <f>IF(COUNTIF($F26:$F26,"N/A")=COUNTA($F26:$F26),"N/A",$J26/(COUNTA($F26:$F26)-$L26))</f>
        <v/>
      </c>
      <c r="J26" s="9">
        <f>COUNTIF($F26:$F26,"양호")</f>
        <v/>
      </c>
      <c r="K26" s="9">
        <f>COUNTIF($F26:$F26,"취약")</f>
        <v/>
      </c>
      <c r="L26" s="9">
        <f>COUNTIF($F26:$F26,"N/A")</f>
        <v/>
      </c>
    </row>
    <row r="27">
      <c r="B27" s="15" t="n"/>
      <c r="C27" s="9" t="inlineStr">
        <is>
          <t>WEB-22</t>
        </is>
      </c>
      <c r="D27" s="2" t="inlineStr">
        <is>
          <t>에러 페이지 관리</t>
        </is>
      </c>
      <c r="E27" s="9" t="inlineStr">
        <is>
          <t>하</t>
        </is>
      </c>
      <c r="F27" s="16" t="inlineStr">
        <is>
          <t>양호</t>
        </is>
      </c>
      <c r="H27" s="15" t="n"/>
      <c r="I27" s="12">
        <f>IF(COUNTIF($F27:$F27,"N/A")=COUNTA($F27:$F27),"N/A",$J27/(COUNTA($F27:$F27)-$L27))</f>
        <v/>
      </c>
      <c r="J27" s="9">
        <f>COUNTIF($F27:$F27,"양호")</f>
        <v/>
      </c>
      <c r="K27" s="9">
        <f>COUNTIF($F27:$F27,"취약")</f>
        <v/>
      </c>
      <c r="L27" s="9">
        <f>COUNTIF($F27:$F27,"N/A")</f>
        <v/>
      </c>
    </row>
    <row r="28">
      <c r="B28" s="15" t="n"/>
      <c r="C28" s="9" t="inlineStr">
        <is>
          <t>WEB-23</t>
        </is>
      </c>
      <c r="D28" s="2" t="inlineStr">
        <is>
          <t>LDAP 알고리즘 적절하게 구성</t>
        </is>
      </c>
      <c r="E28" s="9" t="inlineStr">
        <is>
          <t>중</t>
        </is>
      </c>
      <c r="F28" s="16" t="inlineStr">
        <is>
          <t>양호</t>
        </is>
      </c>
      <c r="H28" s="15" t="n"/>
      <c r="I28" s="12">
        <f>IF(COUNTIF($F28:$F28,"N/A")=COUNTA($F28:$F28),"N/A",$J28/(COUNTA($F28:$F28)-$L28))</f>
        <v/>
      </c>
      <c r="J28" s="9">
        <f>COUNTIF($F28:$F28,"양호")</f>
        <v/>
      </c>
      <c r="K28" s="9">
        <f>COUNTIF($F28:$F28,"취약")</f>
        <v/>
      </c>
      <c r="L28" s="9">
        <f>COUNTIF($F28:$F28,"N/A")</f>
        <v/>
      </c>
    </row>
    <row r="29">
      <c r="B29" s="9" t="inlineStr">
        <is>
          <t>패치 및 로그 관리</t>
        </is>
      </c>
      <c r="C29" s="9" t="inlineStr">
        <is>
          <t>WEB-24</t>
        </is>
      </c>
      <c r="D29" s="2" t="inlineStr">
        <is>
          <t>별도의 업로드 경로 사용 및 권한 설정</t>
        </is>
      </c>
      <c r="E29" s="9" t="inlineStr">
        <is>
          <t>중</t>
        </is>
      </c>
      <c r="F29" s="16" t="inlineStr">
        <is>
          <t>양호</t>
        </is>
      </c>
      <c r="H29" s="12">
        <f>IF(COUNTIF(I29:I31,"N/A")=COUNTA(I29:I31),"N/A",AVERAGE(I29:I31))</f>
        <v/>
      </c>
      <c r="I29" s="12">
        <f>IF(COUNTIF($F29:$F29,"N/A")=COUNTA($F29:$F29),"N/A",$J29/(COUNTA($F29:$F29)-$L29))</f>
        <v/>
      </c>
      <c r="J29" s="9">
        <f>COUNTIF($F29:$F29,"양호")</f>
        <v/>
      </c>
      <c r="K29" s="9">
        <f>COUNTIF($F29:$F29,"취약")</f>
        <v/>
      </c>
      <c r="L29" s="9">
        <f>COUNTIF($F29:$F29,"N/A")</f>
        <v/>
      </c>
    </row>
    <row r="30">
      <c r="B30" s="15" t="n"/>
      <c r="C30" s="9" t="inlineStr">
        <is>
          <t>WEB-25</t>
        </is>
      </c>
      <c r="D30" s="2" t="inlineStr">
        <is>
          <t>주기적 보안 패치 및 벤더 권고사항 적용</t>
        </is>
      </c>
      <c r="E30" s="9" t="inlineStr">
        <is>
          <t>상</t>
        </is>
      </c>
      <c r="F30" s="16" t="inlineStr">
        <is>
          <t>양호</t>
        </is>
      </c>
      <c r="H30" s="15" t="n"/>
      <c r="I30" s="12">
        <f>IF(COUNTIF($F30:$F30,"N/A")=COUNTA($F30:$F30),"N/A",$J30/(COUNTA($F30:$F30)-$L30))</f>
        <v/>
      </c>
      <c r="J30" s="9">
        <f>COUNTIF($F30:$F30,"양호")</f>
        <v/>
      </c>
      <c r="K30" s="9">
        <f>COUNTIF($F30:$F30,"취약")</f>
        <v/>
      </c>
      <c r="L30" s="9">
        <f>COUNTIF($F30:$F30,"N/A")</f>
        <v/>
      </c>
    </row>
    <row r="31">
      <c r="B31" s="15" t="n"/>
      <c r="C31" s="9" t="inlineStr">
        <is>
          <t>WEB-26</t>
        </is>
      </c>
      <c r="D31" s="2" t="inlineStr">
        <is>
          <t>로그 디렉터리 및 파일 권한 설정</t>
        </is>
      </c>
      <c r="E31" s="9" t="inlineStr">
        <is>
          <t>중</t>
        </is>
      </c>
      <c r="F31" s="16" t="inlineStr">
        <is>
          <t>양호</t>
        </is>
      </c>
      <c r="H31" s="15" t="n"/>
      <c r="I31" s="12">
        <f>IF(COUNTIF($F31:$F31,"N/A")=COUNTA($F31:$F31),"N/A",$J31/(COUNTA($F31:$F31)-$L31))</f>
        <v/>
      </c>
      <c r="J31" s="9">
        <f>COUNTIF($F31:$F31,"양호")</f>
        <v/>
      </c>
      <c r="K31" s="9">
        <f>COUNTIF($F31:$F31,"취약")</f>
        <v/>
      </c>
      <c r="L31" s="9">
        <f>COUNTIF($F31:$F31,"N/A")</f>
        <v/>
      </c>
    </row>
    <row r="32">
      <c r="B32" s="1" t="inlineStr">
        <is>
          <t>점검결과</t>
        </is>
      </c>
      <c r="C32" s="9" t="inlineStr">
        <is>
          <t>취약항목 개수</t>
        </is>
      </c>
      <c r="D32" s="9" t="n"/>
      <c r="E32" s="9" t="n"/>
      <c r="F32" s="18">
        <f>COUNTIF(F6:F31,"취약")</f>
        <v/>
      </c>
    </row>
    <row r="33">
      <c r="B33" s="9" t="n"/>
      <c r="C33" s="9" t="inlineStr">
        <is>
          <t>보안 적용율 (양호항목 / 진단항목) %</t>
        </is>
      </c>
      <c r="D33" s="9" t="n"/>
      <c r="E33" s="9" t="n"/>
      <c r="F33" s="12">
        <f>(COUNTIF(F6:F31,"양호"))/(COUNTA(F6:F31)-COUNTIF(F6:F31,"N/A"))</f>
        <v/>
      </c>
    </row>
  </sheetData>
  <mergeCells count="16">
    <mergeCell ref="H9:H23"/>
    <mergeCell ref="C33:E33"/>
    <mergeCell ref="B32:B33"/>
    <mergeCell ref="B9:B23"/>
    <mergeCell ref="H29:H31"/>
    <mergeCell ref="H6:H8"/>
    <mergeCell ref="C3:C5"/>
    <mergeCell ref="B24:B28"/>
    <mergeCell ref="B2:L2"/>
    <mergeCell ref="E3:E5"/>
    <mergeCell ref="B29:B31"/>
    <mergeCell ref="D3:D5"/>
    <mergeCell ref="B3:B5"/>
    <mergeCell ref="H24:H28"/>
    <mergeCell ref="B6:B8"/>
    <mergeCell ref="C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47" customWidth="1" min="4" max="4"/>
    <col width="100" customWidth="1" min="5" max="5"/>
    <col width="6" customWidth="1" min="6" max="6"/>
    <col width="55" customWidth="1" min="7" max="7"/>
    <col width="55" customWidth="1" min="8" max="8"/>
  </cols>
  <sheetData>
    <row r="1"/>
    <row r="2" ht="26" customHeight="1">
      <c r="B2" s="13" t="inlineStr">
        <is>
          <t>Check방 취약점 진단 상세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진단기준</t>
        </is>
      </c>
      <c r="F3" s="7" t="inlineStr">
        <is>
          <t>진단결과</t>
        </is>
      </c>
      <c r="G3" s="7" t="inlineStr">
        <is>
          <t>판단 근거</t>
        </is>
      </c>
      <c r="H3" s="7" t="inlineStr">
        <is>
          <t>조치 방법</t>
        </is>
      </c>
    </row>
    <row r="4">
      <c r="B4" s="8" t="n"/>
      <c r="C4" s="8" t="n"/>
      <c r="D4" s="8" t="n"/>
      <c r="E4" s="8" t="n"/>
      <c r="F4" s="8" t="n"/>
      <c r="G4" s="8" t="n"/>
      <c r="H4" s="8" t="n"/>
    </row>
    <row r="5">
      <c r="B5" s="8" t="n"/>
      <c r="C5" s="8" t="n"/>
      <c r="D5" s="8" t="n"/>
      <c r="E5" s="8" t="n"/>
      <c r="F5" s="8" t="n"/>
      <c r="G5" s="8" t="n"/>
      <c r="H5" s="8" t="n"/>
    </row>
    <row r="6">
      <c r="B6" s="9" t="inlineStr">
        <is>
          <t>계정 관리</t>
        </is>
      </c>
      <c r="C6" s="9" t="inlineStr">
        <is>
          <t>WEB-01</t>
        </is>
      </c>
      <c r="D6" s="2" t="inlineStr">
        <is>
          <t>Default 관리자 계정명 변경</t>
        </is>
      </c>
      <c r="E6" s="2" t="inlineStr">
        <is>
          <t>양호 : 관리자 페이지를 사용하지 않거나, 계정명이 기본 계정명으로 설정되어 있지 않은 경우
취약 : 계정명이 기본 계정명으로 설정되어 있거나, 추측하기 쉬운 문자 조합으로 이루어진 계정명을 사용하는 경우</t>
        </is>
      </c>
      <c r="F6" s="14" t="inlineStr">
        <is>
          <t>취약</t>
        </is>
      </c>
      <c r="G6" s="2" t="inlineStr">
        <is>
          <t>- 판단기준의 '관리자 페이지를 사용하지 않는 경우 → 양호' 조건에 해당함
- 점검파일 /opt/tomcat9/conf/tomcat-users.xml 의 점검내용(로우데이터)이 '활성 user 계정 없음'으로, 활성화된 관리자 계정이 존재하지 않음
- 활성 user 계정이 없으므로 기본 계정명(admin, manager, tomcat 등) 또는 추측하기 쉬운 계정명이 설정된 정황이 없어 취약 사유에 해당하지 않음
- 별도의 비표준/의심 계정도 열거되지 않아 이상치 없음으로 확인됨</t>
        </is>
      </c>
      <c r="H6" s="2" t="inlineStr">
        <is>
          <t>기본 관리자 계정명을 추측하기 어려운 계정명으로 설정</t>
        </is>
      </c>
    </row>
    <row r="7">
      <c r="B7" s="15" t="n"/>
      <c r="C7" s="9" t="inlineStr">
        <is>
          <t>WEB-02</t>
        </is>
      </c>
      <c r="D7" s="2" t="inlineStr">
        <is>
          <t>취약한 비밀번호 사용 제한</t>
        </is>
      </c>
      <c r="E7" s="2" t="inlineStr">
        <is>
          <t>양호 : 관리자 비밀번호가 암호화되어 있거나, 유추하기 어려운 비밀번호로 설정된 경우
취약 : 관리자 비밀번호가 암호화되어 있지 않거나, 유추하기 쉬운 비밀번호로 설정된 경우</t>
        </is>
      </c>
      <c r="F7" s="14" t="inlineStr">
        <is>
          <t>취약</t>
        </is>
      </c>
      <c r="G7" s="2" t="inlineStr">
        <is>
          <t>- 판단기준은 '관리자 비밀번호'의 암호화 여부 및 추측 난이도를 점검하는 항목임
- 점검내용(로우데이터)상 /opt/tomcat9/conf/tomcat-users.xml 내 '활성 user 계정 없음'으로, 비밀번호를 평가할 관리자 계정 자체가 존재하지 않음
- 점검할 user(비밀번호) 항목이 없어 본 항목의 점검 대상이 아니므로 N/A로 판정함</t>
        </is>
      </c>
      <c r="H7" s="2" t="inlineStr">
        <is>
          <t>복잡도 기준에 맞는 추측하기 어려운 비밀번호 설정</t>
        </is>
      </c>
    </row>
    <row r="8">
      <c r="B8" s="15" t="n"/>
      <c r="C8" s="9" t="inlineStr">
        <is>
          <t>WEB-03</t>
        </is>
      </c>
      <c r="D8" s="2" t="inlineStr">
        <is>
          <t>비밀번호 파일 권한 관리</t>
        </is>
      </c>
      <c r="E8" s="2" t="inlineStr">
        <is>
          <t>양호 : 비밀번호 파일에 권한이 600 이하로 설정된 경우
취약 : 비밀번호 파일에 권한이 600 초과로 설정된 경우</t>
        </is>
      </c>
      <c r="F8" s="14" t="inlineStr">
        <is>
          <t>취약</t>
        </is>
      </c>
      <c r="G8" s="2" t="inlineStr">
        <is>
          <t>- 판단기준의 '양호: 비밀번호 파일 권한이 600 이하'에 대응하여, 점검내용 라인 '-rw------- (600) tomcat:tomcat /opt/tomcat9/conf/tomcat-users.xml'의 권한이 정확히 600으로 확인됨
- owner=rw-(6), group=---(0), other=---(0)로 group/other에 어떠한 권한도 부여되지 않아 600을 초과하지 않음
- 소유자가 tomcat:tomcat으로 WAS 구동 계정에 적절히 설정되어 있고, 비밀번호 파일이 외부에 노출될 위험이 없음</t>
        </is>
      </c>
      <c r="H8" s="2" t="inlineStr">
        <is>
          <t>비밀번호 파일 권한 600 이하로 설정</t>
        </is>
      </c>
    </row>
    <row r="9">
      <c r="B9" s="9" t="inlineStr">
        <is>
          <t>서비스 관리</t>
        </is>
      </c>
      <c r="C9" s="9" t="inlineStr">
        <is>
          <t>WEB-04</t>
        </is>
      </c>
      <c r="D9" s="2" t="inlineStr">
        <is>
          <t>웹 서비스 디렉터리 리스팅 방지 설정</t>
        </is>
      </c>
      <c r="E9" s="2" t="inlineStr">
        <is>
          <t>양호 : 디렉터리 리스팅이 설정되지 않은 경우
취약 : 디렉터리 리스팅이 설정된 경우</t>
        </is>
      </c>
      <c r="F9" s="14" t="inlineStr">
        <is>
          <t>취약</t>
        </is>
      </c>
      <c r="G9" s="2" t="inlineStr">
        <is>
          <t>- 판단기준의 '양호(디렉터리 리스팅이 설정되지 않은 경우)'와 점검내용이 일치 — Tomcat 전역 설정 파일(/opt/tomcat9/conf/web.xml)의 DefaultServlet 파라미터가 listings=false 로 확인됨
- 애플리케이션 개별 설정(/srv/bookstore/WEB-INF/web.xml) 또한 listings=false 로, 전역·개별 설정 모두 디렉터리 리스팅이 비활성화되어 있음
- 두 점검파일 어디에도 listings=true 설정이 존재하지 않아 디렉터리 리스팅이 설정된(취약) 조건에 해당하지 않음</t>
        </is>
      </c>
      <c r="H9" s="2" t="inlineStr">
        <is>
          <t>디렉터리 리스팅 기능 차단 설정</t>
        </is>
      </c>
    </row>
    <row r="10">
      <c r="B10" s="15" t="n"/>
      <c r="C10" s="9" t="inlineStr">
        <is>
          <t>WEB-05</t>
        </is>
      </c>
      <c r="D10" s="2" t="inlineStr">
        <is>
          <t>지정하지 않은 CGI/ISAPI 실행 제한</t>
        </is>
      </c>
      <c r="E10" s="2" t="inlineStr">
        <is>
          <t>양호 : CGI 스크립트를 사용하지 않거나 CGI 스크립트가 실행 가능한 디렉터리를 제한한 경우
취약 : CGI 스크립트를 사용하고 CGI 스크립트가 실행 가능한 디렉터리를 제한하지 않은 경우</t>
        </is>
      </c>
      <c r="F10" s="14" t="inlineStr">
        <is>
          <t>취약</t>
        </is>
      </c>
      <c r="G10" s="2" t="inlineStr">
        <is>
          <t>- 판단기준의 양호 조건은 'CGI 스크립트를 사용하지 않거나 실행 가능 디렉터리를 제한한 경우'임
- 점검내용 로우데이터 '활성 CGI 서블릿/매핑 없음 — 주석 제외'에 따라 web.xml 내 CGI 서블릿(org.apache.catalina.servlets.CGIServlet) 및 해당 서블릿 매핑이 활성화되어 있지 않음
- 즉 Tomcat에서 CGI 스크립트를 사용하지 않는 상태이므로 양호로 판정
- 의심 항목 점검: 주석 처리된 항목을 제외하고 활성 CGI 매핑이 존재하지 않아 추가 이상치 없음</t>
        </is>
      </c>
      <c r="H10" s="2" t="inlineStr">
        <is>
          <t>CGI 스크립트를 정해진 디렉터리 내에서만 실행할 수 있도록 설정</t>
        </is>
      </c>
    </row>
    <row r="11">
      <c r="B11" s="15" t="n"/>
      <c r="C11" s="9" t="inlineStr">
        <is>
          <t>WEB-06</t>
        </is>
      </c>
      <c r="D11" s="2" t="inlineStr">
        <is>
          <t>웹 서비스 상위 디렉터리 접근 제한 설정</t>
        </is>
      </c>
      <c r="E11" s="2" t="inlineStr">
        <is>
          <t>양호 : 상위 디렉터리 접근 기능을 제거한 경우
취약 : 상위 디렉터리 접근 기능을 제거하지 않은 경우</t>
        </is>
      </c>
      <c r="F11" s="16" t="inlineStr">
        <is>
          <t>양호</t>
        </is>
      </c>
      <c r="G11" s="2" t="inlineStr">
        <is>
          <t>- 판단기준의 '상위 디렉터리 접근 기능을 제거한 경우(양호)'는 Tomcat에서 심볼릭 링크를 통한 상위 디렉터리 접근을 허용하는 allowLinking 옵션이 비활성화된 상태를 의미함
- 점검내용 로우데이터에 'allowLinking=true 미설정 — 기본 차단'으로 명시되어 있어, context.xml/server.xml에 allowLinking="true" 설정이 존재하지 않음을 확인함
- Tomcat의 allowLinking 기본값은 false로 심볼릭 링크 접근이 차단되며, 별도 활성화 설정이 없으므로 상위 디렉터리 접근 기능이 제거된 상태에 해당함
- 명시적으로 접근을 허용하는 비표준 설정(allowLinking=true)이 발견되지 않아 이상치 없음, 따라서 양호로 판정함</t>
        </is>
      </c>
      <c r="H11" s="2" t="inlineStr"/>
    </row>
    <row r="12">
      <c r="B12" s="15" t="n"/>
      <c r="C12" s="9" t="inlineStr">
        <is>
          <t>WEB-07</t>
        </is>
      </c>
      <c r="D12" s="2" t="inlineStr">
        <is>
          <t>웹 서비스 경로 내 불필요한 파일 제거</t>
        </is>
      </c>
      <c r="E12" s="2" t="inlineStr">
        <is>
          <t>양호 : 기본으로 생성되는 불필요한 파일 및 디렉터리가 존재하지 않을 경우
취약 : 기본으로 생성되는 불필요한 파일 및 디렉터리가 존재하는 경우</t>
        </is>
      </c>
      <c r="F12" s="16" t="inlineStr">
        <is>
          <t>양호</t>
        </is>
      </c>
      <c r="G12" s="2" t="inlineStr">
        <is>
          <t>- 판단기준의 '양호' 조건은 기본 생성되는 불필요한 파일·디렉터리(docs/examples/manager/host-manager 등)가 존재하지 않을 경우임
- 점검내용 로우데이터 'docs/examples/manager/host-manager 등 없음'은 /opt/tomcat9/webapps 경로 내 Tomcat 기본 불필요 디렉터리가 모두 제거되어 존재하지 않음을 의미함
- 점검대상 경로에서 docs, examples, manager, host-manager 등 기본 관리/예제 애플리케이션이 확인되지 않으므로 불필요 파일 제거 기준을 충족하여 양호로 판정함</t>
        </is>
      </c>
      <c r="H12" s="2" t="inlineStr"/>
    </row>
    <row r="13">
      <c r="B13" s="15" t="n"/>
      <c r="C13" s="9" t="inlineStr">
        <is>
          <t>WEB-08</t>
        </is>
      </c>
      <c r="D13" s="2" t="inlineStr">
        <is>
          <t>웹 서비스 파일 업로드 및 다운로드 용량 제한</t>
        </is>
      </c>
      <c r="E13" s="2" t="inlineStr">
        <is>
          <t>양호 : 파일 업로드 및 다운로드 용량을 제한한 경우
취약 : 파일 업로드 및 다운로드 용량을 제한하지 않은 경우</t>
        </is>
      </c>
      <c r="F13" s="16" t="inlineStr">
        <is>
          <t>양호</t>
        </is>
      </c>
      <c r="G13" s="2" t="inlineStr">
        <is>
          <t>- 판단기준(파일 업로드/다운로드 용량을 제한한 경우 양호)에 대해, Tomcat WAS의 server.xml에 `maxPostSize="5242880"`(약 5MB)이 설정되어 Connector 단의 POST 요청 본문 크기가 제한되어 있음
- 애플리케이션 레벨(action-servlet.xml)에도 `&lt;property name="maxUploadSize" value="52428800" /&gt;`(약 50MB)이 설정되어 멀티파트 파일 업로드 용량이 제한되어 있음
- WAS(Tomcat)와 애플리케이션 양쪽 모두에서 업로드 용량 제한 설정이 명시적으로 존재하므로, 무제한 업로드로 인한 자원 고갈/DoS 위험이 통제됨
- 비표준·이상치(제한값 0, 미설정, 음수 등 제한 무력화 패턴)는 발견되지 않음</t>
        </is>
      </c>
      <c r="H13" s="2" t="inlineStr"/>
    </row>
    <row r="14">
      <c r="B14" s="15" t="n"/>
      <c r="C14" s="9" t="inlineStr">
        <is>
          <t>WEB-09</t>
        </is>
      </c>
      <c r="D14" s="2" t="inlineStr">
        <is>
          <t>웹 서비스 프로세스 권한 제한</t>
        </is>
      </c>
      <c r="E14" s="2" t="inlineStr">
        <is>
          <t>양호 : 웹 프로세스(웹 서비스)가 관리자 권한이 부여된 계정이 아닌 운영에 필요한 최소한의 권한을 가진 별도의 계정으로 구동되고 있는 경우
취약 : 웹 프로세스(웹 서비스)가 관리자 권한이 부여된 계정으로 구동되고 있는 경우</t>
        </is>
      </c>
      <c r="F14" s="16" t="inlineStr">
        <is>
          <t>양호</t>
        </is>
      </c>
      <c r="G14" s="2" t="inlineStr">
        <is>
          <t>- 판단기준의 양호 조건은 웹 프로세스가 관리자(root) 권한 계정이 아닌 운영 최소 권한의 별도 계정으로 구동되는 경우인데, 점검내용의 'user=tomcat / svcUser=tomcat' 라인에서 Tomcat 프로세스(pid=30255)가 root가 아닌 전용 tomcat 계정으로 구동됨을 확인
- 'groups=[tomcat]' 라인에서 부여된 그룹이 전용 tomcat 그룹 하나뿐으로 관리자 그룹(root/wheel 등)에 속하지 않아 권한이 최소화되어 있음
- 'shell=/sbin/nologin' 라인에서 해당 계정은 로그인 셸이 차단된 서비스 전용 계정으로, 관리자 권한 계정이 아님이 추가로 뒷받침됨
- 관리자 권한 계정(root)으로 구동되는 취약 조건에 해당하는 라인이 없음</t>
        </is>
      </c>
      <c r="H14" s="2" t="inlineStr"/>
    </row>
    <row r="15">
      <c r="B15" s="15" t="n"/>
      <c r="C15" s="9" t="inlineStr">
        <is>
          <t>WEB-10</t>
        </is>
      </c>
      <c r="D15" s="2" t="inlineStr">
        <is>
          <t>불필요한 프록시 설정 제한</t>
        </is>
      </c>
      <c r="E15" s="2" t="inlineStr">
        <is>
          <t>양호 : 불필요한 Proxy 설정을 제한한 경우
취약 : 불필요한 Proxy 설정을 제한하지 않은 경우</t>
        </is>
      </c>
      <c r="F15" s="16" t="inlineStr">
        <is>
          <t>양호</t>
        </is>
      </c>
      <c r="G15" s="2" t="inlineStr">
        <is>
          <t>- 판단기준의 '불필요한 Proxy 설정을 제한한 경우(양호)'와 점검내용 'Connector proxyName/proxyPort 설정 없음'이 대응함
- /opt/tomcat9/conf/server.xml의 Connector 요소에 proxyName 및 proxyPort 속성이 설정되어 있지 않아 불필요한 프록시 설정이 존재하지 않음
- 비표준·불필요한 Proxy 지시자가 발견되지 않아 이상치(의심 항목) 없음 → 양호로 판정</t>
        </is>
      </c>
      <c r="H15" s="2" t="inlineStr"/>
    </row>
    <row r="16">
      <c r="B16" s="15" t="n"/>
      <c r="C16" s="9" t="inlineStr">
        <is>
          <t>WEB-11</t>
        </is>
      </c>
      <c r="D16" s="2" t="inlineStr">
        <is>
          <t>웹 서비스 경로 설정</t>
        </is>
      </c>
      <c r="E16" s="2" t="inlineStr">
        <is>
          <t>양호 : 웹 서버 경로를 기타 업무와 영역이 분리된 경로로 설정 및 불필요한 경로가 존재하지 않는 경우
취약 : 웹 서버 경로를 기타 업무와 영역이 분리되지 않은 경로로 설정하거나 불필요한 경로가 있는 경우</t>
        </is>
      </c>
      <c r="F16" s="16" t="inlineStr">
        <is>
          <t>양호</t>
        </is>
      </c>
      <c r="G16" s="2" t="inlineStr">
        <is>
          <t>- 판단기준의 '웹 서버 경로를 기타 업무와 영역이 분리된 경로로 설정'에 대응하여, 점검내용의 docBase=/srv/bookstore 라인은 실제 웹 콘텐츠(문서 루트)를 WAS 설치 경로(/opt/tomcat9)와 분리된 별도 디렉터리(/srv/bookstore)에 둠으로써 영역 분리가 적용되어 있음
- appBase=webapps (=&gt; /opt/tomcat9/webapps) 라인은 Tomcat 기본 애플리케이션 배포 경로로, 표준 구성에 해당하며 비표준·불필요 경로로 볼 만한 이상치가 보이지 않음
- 판단기준의 '불필요한 경로가 존재하지 않는 경우'에 대응하여, 점검내용에 제시된 경로는 appBase(배포)와 docBase(콘텐츠) 두 개뿐이며 의심스러운 추가 경로가 열거되지 않음</t>
        </is>
      </c>
      <c r="H16" s="2" t="inlineStr"/>
    </row>
    <row r="17">
      <c r="B17" s="15" t="n"/>
      <c r="C17" s="9" t="inlineStr">
        <is>
          <t>WEB-12</t>
        </is>
      </c>
      <c r="D17" s="2" t="inlineStr">
        <is>
          <t>웹 서비스 링크 사용 금지</t>
        </is>
      </c>
      <c r="E17" s="2" t="inlineStr">
        <is>
          <t>양호 : 심볼릭 링크, aliases, 바로가기 등의 링크 사용을 허용하지 않는 경우
취약 : 심볼릭 링크, aliases, 바로가기 등의 링크 사용을 허용하는 경우</t>
        </is>
      </c>
      <c r="F17" s="16" t="inlineStr">
        <is>
          <t>양호</t>
        </is>
      </c>
      <c r="G17" s="2" t="inlineStr">
        <is>
          <t>- 판단기준의 '양호'는 심볼릭 링크·aliases·바로가기 등 링크 사용을 허용하지 않는 경우인데, 점검내용 로우데이터가 'allowLinking 허용 설정 없음'으로 확인됨
- 점검파일 context.xml/server.xml 내 링크 사용을 허용하는 설정(allowLinking="true" 등)이 존재하지 않으므로 링크 사용이 허용되지 않은 상태임
- 링크 허용 설정이 없어 기본값(미허용)으로 동작하므로 취약 조건(링크 사용 허용)에 해당하지 않음</t>
        </is>
      </c>
      <c r="H17" s="2" t="inlineStr"/>
    </row>
    <row r="18">
      <c r="B18" s="15" t="n"/>
      <c r="C18" s="9" t="inlineStr">
        <is>
          <t>WEB-13</t>
        </is>
      </c>
      <c r="D18" s="2" t="inlineStr">
        <is>
          <t>웹 서비스 설정 파일 노출 제한</t>
        </is>
      </c>
      <c r="E18" s="2" t="inlineStr">
        <is>
          <t>양호 : 일반 사용자의 DB 연결 파일에 대한 접근을 제한하고, 불필요한 스크립트 매핑이 제거된 경우
취약 : 일반 사용자의 DB 연결 파일에 대한 접근을 제한하지 않거나, 불필요한 스크립트 매핑이 제거되지 않은 경우</t>
        </is>
      </c>
      <c r="F18" s="16" t="inlineStr">
        <is>
          <t>양호</t>
        </is>
      </c>
      <c r="G18" s="2" t="inlineStr">
        <is>
          <t>- 판단기준의 '일반 사용자의 DB 연결 파일 접근 제한' 조건 ↔ 점검내용의 DB 연결 관련 파일들이 모두 권한 600(-rw-------)으로 설정되어 owner(tomcat) 외 group/other 에는 읽기·쓰기 권한이 전혀 없음
- DB 연결 설정 파일인 context-datasource.xml, context-mybatis.xml, my_SQL.xml(매퍼), app.properties(접속정보 포함 가능) 모두 소유자 tomcat:tomcat, 권한 600 으로 일반 사용자 접근이 차단되어 있음
- 모든 파일이 group/other 칸에 어떤 권한도 부여하지 않으므로(600 ⊂ 600) 권한 초과 노출이 없음 — 이상치(비표준 권한·타 소유자·world-readable 파일) 없음
- 점검 대상 파일이 WAS 내부 WEB-INF/classes 하위에 위치하여 웹 경로로 직접 노출되지 않으며 접근이 적절히 제한됨</t>
        </is>
      </c>
      <c r="H18" s="2" t="inlineStr"/>
    </row>
    <row r="19">
      <c r="B19" s="15" t="n"/>
      <c r="C19" s="9" t="inlineStr">
        <is>
          <t>WEB-14</t>
        </is>
      </c>
      <c r="D19" s="2" t="inlineStr">
        <is>
          <t>웹 서비스 경로 내 파일의 접근 통제</t>
        </is>
      </c>
      <c r="E19" s="2" t="inlineStr">
        <is>
          <t>양호 : 주요 설정 파일 및 디렉터리에 불필요한 접근 권한이 부여되지 않은 경우
취약 : 주요 설정 파일 및 디렉터리에 불필요한 접근 권한이 부여된 경우</t>
        </is>
      </c>
      <c r="F19" s="16" t="inlineStr">
        <is>
          <t>양호</t>
        </is>
      </c>
      <c r="G19" s="2" t="inlineStr">
        <is>
          <t>- (양호 조건: 주요 설정 파일에 불필요한 접근 권한 미부여) ↔ /opt/tomcat9/conf 하위 server.xml·web.xml·context.xml·tomcat-users.xml 모두 600(rw-------), other 권한 없음으로 외부 접근 차단됨
- (양호 조건: 앱 주요 설정 파일 보호) ↔ /srv/bookstore/WEB-INF/classes 하위 my_SQL.xml·app.properties·context-*.xml 모두 600(rw-------)으로 group/other 접근 전혀 없음, DB 접속정보(context-datasource.xml) 등 민감 파일도 안전
- (other 권한 칸별 점검) ↔ /srv/bookstore/WEB-INF/web.xml 은 640(rw-r-----)으로 group 읽기만 허용되고 other 비트는 없어 불필요한 접근 권한 없음
- (디렉터리 권한 점검) ↔ /opt/tomcat9/conf 700(drwx------), /srv/bookstore/WEB-INF 750(drwxr-x---)으로 둘 다 other 접근 비트가 없어 통제됨
- (소유자 점검) ↔ 모든 파일·디렉터리 소유자/그룹이 tomcat:tomcat 으로 구동 계정 일치, 이상치(world-writable·other 읽기 초과 등) 항목 없음</t>
        </is>
      </c>
      <c r="H19" s="2" t="inlineStr"/>
    </row>
    <row r="20">
      <c r="B20" s="15" t="n"/>
      <c r="C20" s="9" t="inlineStr">
        <is>
          <t>WEB-15</t>
        </is>
      </c>
      <c r="D20" s="2" t="inlineStr">
        <is>
          <t>웹 서비스의 불필요한 스크립트 매핑 제거</t>
        </is>
      </c>
      <c r="E20" s="2" t="inlineStr">
        <is>
          <t>양호 : 불필요한 스크립트 매핑이 존재하지 않는 경우
취약 : 불필요한 스크립트 매핑이 존재하는 경우</t>
        </is>
      </c>
      <c r="F20" s="16" t="inlineStr">
        <is>
          <t>양호</t>
        </is>
      </c>
      <c r="G20" s="2" t="inlineStr">
        <is>
          <t>- 판단기준은 '불필요한(위험) 스크립트 매핑'(예: invoker 서블릿, CGI, SSI, *.jspx 외 비표준 확장자 핸들러 등)의 존재 여부인데, 점검내용에는 그러한 비표준/위험 매핑 라인이 없음
- /opt/tomcat9/conf/web.xml 의 매핑은 default 서블릿(/), jsp 서블릿(*.jsp, *.jspx)뿐으로, 이는 Tomcat 기본 web.xml의 표준 매핑이며 정상 패턴에 해당
- /srv/bookstore/WEB-INF/web.xml 의 매핑은 action 서블릿(/) 하나로, 애플리케이션 프론트 컨트롤러(예: Struts/Spring) 형태의 정상 매핑임
- 화이트리스트(default, jsp 표준 매핑, 애플리케이션 컨트롤러) 차집합으로 점검했을 때 의심·이상치 매핑이 발견되지 않으므로 불필요한 스크립트 매핑이 존재하지 않음</t>
        </is>
      </c>
      <c r="H20" s="2" t="inlineStr"/>
    </row>
    <row r="21">
      <c r="B21" s="15" t="n"/>
      <c r="C21" s="9" t="inlineStr">
        <is>
          <t>WEB-16</t>
        </is>
      </c>
      <c r="D21" s="2" t="inlineStr">
        <is>
          <t>웹 서비스 헤더 정보 노출 제한</t>
        </is>
      </c>
      <c r="E21" s="2" t="inlineStr">
        <is>
          <t>양호 : HTTP 응답 헤더에서 웹 서버 정보가 노출되지 않는 경우
취약 : HTTP 응답 헤더에서 웹 서버 정보가 노출되는 경우</t>
        </is>
      </c>
      <c r="F21" s="16" t="inlineStr">
        <is>
          <t>양호</t>
        </is>
      </c>
      <c r="G21" s="2" t="inlineStr">
        <is>
          <t>- 판단기준은 'HTTP 응답 헤더에서 웹 서버 정보가 노출되지 않는 경우' 양호이며, 이를 위해 Connector의 server 속성이 'Apache-Coyote' 같은 기본/노출값이 아닌 안전한 사용자 정의 값으로 설정되어 Server 응답 헤더가 은닉되어야 함
- 점검내용의 `# /opt/tomcat9/conf/server.xml: server="{Checker}"` 라인은 실제 설정값이 아닌 미치환 템플릿 플레이스홀더(`{Checker}`)로 보이며, Connector의 server 속성이 응답 헤더 정보를 은닉하도록 정상 설정되었는지 확인 불가함
- ErrorReportValve의 `showServerInfo="false"`는 오류 페이지의 서버 정보 노출만 제한하는 설정으로, HTTP 응답 헤더(Server)의 노출 여부와는 별개 항목임
- Server 응답 헤더 은닉(서버 정보 미노출)이 명확히 확인되지 않으므로, 증적 부족·확인 불가 시 보수적으로 '취약'으로 판정함</t>
        </is>
      </c>
      <c r="H21" s="2" t="inlineStr">
        <is>
          <t>응답 헤더에 표시되는 정보를 최소한으로 제한하여 설정</t>
        </is>
      </c>
    </row>
    <row r="22">
      <c r="B22" s="15" t="n"/>
      <c r="C22" s="9" t="inlineStr">
        <is>
          <t>WEB-17</t>
        </is>
      </c>
      <c r="D22" s="2" t="inlineStr">
        <is>
          <t>웹 서비스 가상 디렉터리 삭제</t>
        </is>
      </c>
      <c r="E22" s="2" t="inlineStr">
        <is>
          <t>양호 : 불필요한 가상 디렉터리가 존재하지 않는 경우
취약 : 불필요한 가상 디렉터리가 존재하는 경우</t>
        </is>
      </c>
      <c r="F22" s="16" t="inlineStr">
        <is>
          <t>양호</t>
        </is>
      </c>
      <c r="G22" s="2" t="inlineStr">
        <is>
          <t>- 판단기준상 '불필요한 가상 디렉터리가 존재하지 않는 경우'를 양호로 판정함
- 점검파일 /opt/tomcat9/conf/server.xml 의 점검내용에 'server.xml 내 명시적 Context path 없음'으로 명시되어, 별도로 추가된 가상 디렉터리(Context path) 설정이 존재하지 않음
- 비표준/불필요한 Context 경로 매핑이 발견되지 않아 이상치(의심) 항목 없음 → 양호</t>
        </is>
      </c>
      <c r="H22" s="2" t="inlineStr"/>
    </row>
    <row r="23">
      <c r="B23" s="15" t="n"/>
      <c r="C23" s="9" t="inlineStr">
        <is>
          <t>WEB-18</t>
        </is>
      </c>
      <c r="D23" s="2" t="inlineStr">
        <is>
          <t>웹 서비스 WebDAV 비활성화</t>
        </is>
      </c>
      <c r="E23" s="2" t="inlineStr">
        <is>
          <t>양호 : WebDAV 서비스를 비활성화하고 있는 경우
취약 : WebDAV 서비스를 활성화하고 있는 경우</t>
        </is>
      </c>
      <c r="F23" s="17" t="inlineStr">
        <is>
          <t>N/A</t>
        </is>
      </c>
      <c r="G23" s="2" t="inlineStr">
        <is>
          <t>- 진단대상은 WAS(Tomcat)이나, 본 WebDAV 비활성화 항목(WEB-18)의 점검 대상은 Apache·Nginx·IIS·WebtoB 등 웹 서버임
- 점검내용 원시 라인 'Tomcat 점검 대상 아님 / 대상: Apache·Nginx·IIS·WebtoB'에 따라 Tomcat은 본 항목의 점검 대상이 아님
- 점검 대상이 아닌 경우에 해당하므로 양호/취약이 아닌 N/A로 판정함</t>
        </is>
      </c>
      <c r="H23" s="2" t="inlineStr"/>
    </row>
    <row r="24">
      <c r="B24" s="9" t="inlineStr">
        <is>
          <t>보안 설정</t>
        </is>
      </c>
      <c r="C24" s="9" t="inlineStr">
        <is>
          <t>WEB-19</t>
        </is>
      </c>
      <c r="D24" s="2" t="inlineStr">
        <is>
          <t>웹 서비스 SSI(Server Side Includes) 사용 제한</t>
        </is>
      </c>
      <c r="E24" s="2" t="inlineStr">
        <is>
          <t>양호 : 웹 서비스 SSI 사용 설정이 비활성화되어 있는 경우
취약 : 웹 서비스 SSI 사용 설정이 활성화되어 있는 경우</t>
        </is>
      </c>
      <c r="F24" s="16" t="inlineStr">
        <is>
          <t>양호</t>
        </is>
      </c>
      <c r="G24" s="2" t="inlineStr">
        <is>
          <t>- 판단기준상 SSI 사용 설정이 비활성화되어 있으면 양호인데, 점검내용에 'SSI 서블릿/필터 매핑 없음 — 주석 제외'로 확인됨
- 점검파일 /opt/tomcat9/conf/web.xml 및 /srv/bookstore/WEB-INF/web.xml 양쪽 모두에서 org.apache.catalina.ssi.SSIServlet 또는 SSIFilter 매핑이 활성(비주석) 상태로 존재하지 않음
- 주석 처리된 항목은 실제 적용되지 않으므로 SSI 기능이 동작하지 않는 상태로, 비표준/의심되는 SSI 활성 매핑도 발견되지 않음</t>
        </is>
      </c>
      <c r="H24" s="2" t="inlineStr"/>
    </row>
    <row r="25">
      <c r="B25" s="15" t="n"/>
      <c r="C25" s="9" t="inlineStr">
        <is>
          <t>WEB-20</t>
        </is>
      </c>
      <c r="D25" s="2" t="inlineStr">
        <is>
          <t>SSL/TLS 활성화</t>
        </is>
      </c>
      <c r="E25" s="2" t="inlineStr">
        <is>
          <t>양호 : SSL/TLS 설정이 활성화되어 있는 경우
취약 : SSL/TLS 설정이 비활성화되어 있는 경우</t>
        </is>
      </c>
      <c r="F25" s="17" t="inlineStr">
        <is>
          <t>N/A</t>
        </is>
      </c>
      <c r="G25" s="2" t="inlineStr">
        <is>
          <t>- 판단기준은 WAS(Tomcat)의 SSL/TLS 설정 활성화 여부를 점검하나, 점검내용 라인 'Tomcat 점검 대상 아님 / SSL은 앞단 Apache 종단'에 따라 SSL/TLS 종단 처리가 앞단 Apache에서 수행됨
- Tomcat 자체는 SSL 종단 역할을 하지 않으므로 본 항목의 점검 대상에 해당하지 않음(정당한 N/A 사유)
- 따라서 Tomcat에 대한 SSL/TLS 활성화/비활성화 양호·취약 판정 대상이 아니므로 N/A로 판정함</t>
        </is>
      </c>
      <c r="H25" s="2" t="inlineStr"/>
    </row>
    <row r="26">
      <c r="B26" s="15" t="n"/>
      <c r="C26" s="9" t="inlineStr">
        <is>
          <t>WEB-21</t>
        </is>
      </c>
      <c r="D26" s="2" t="inlineStr">
        <is>
          <t>HTTP 리디렉션</t>
        </is>
      </c>
      <c r="E26" s="2" t="inlineStr">
        <is>
          <t>양호 : HTTP 접근 시 HTTPS Redirection이 활성화된 경우
취약 : HTTP 접근 시 HTTPS Redirection이 비활성화된 경우</t>
        </is>
      </c>
      <c r="F26" s="17" t="inlineStr">
        <is>
          <t>N/A</t>
        </is>
      </c>
      <c r="G26" s="2" t="inlineStr">
        <is>
          <t>- 판단기준은 HTTP 접근 시 HTTPS Redirection 활성화 여부를 점검하는 항목임
- 점검내용(로우데이터)에 'Tomcat 점검 대상 아님 / 대상: Apache·Nginx·IIS·WebtoB'로 명시되어 있어, 진단대상인 WAS(Tomcat)은 본 항목의 점검 대상이 아님
- HTTP 리디렉션 점검은 웹서버(Apache·Nginx·IIS·WebtoB)를 대상으로 하므로 Tomcat 단독 WAS는 점검 대상이 아니어서 N/A로 판정함</t>
        </is>
      </c>
      <c r="H26" s="2" t="inlineStr"/>
    </row>
    <row r="27">
      <c r="B27" s="15" t="n"/>
      <c r="C27" s="9" t="inlineStr">
        <is>
          <t>WEB-22</t>
        </is>
      </c>
      <c r="D27" s="2" t="inlineStr">
        <is>
          <t>에러 페이지 관리</t>
        </is>
      </c>
      <c r="E27" s="2" t="inlineStr">
        <is>
          <t>양호 : 웹 서비스 에러 페이지가 별도로 지정된 경우
취약 : 웹 서비스 에러 페이지가 별도로 지정되지 않거나 에러 발생 시 중요 정보가 노출되는 경우</t>
        </is>
      </c>
      <c r="F27" s="16" t="inlineStr">
        <is>
          <t>양호</t>
        </is>
      </c>
      <c r="G27" s="2" t="inlineStr">
        <is>
          <t>- 판단기준의 '에러 페이지가 별도로 지정된 경우(양호)'에 대응하여, /srv/bookstore/WEB-INF/web.xml 에 400/403/404/500 에러코드별 &lt;error-page&gt;와 &lt;location&gt;(/WEB-INF/views/error/*.jsp)이 명시적으로 지정되어 있음
- 또한 &lt;exception-type&gt;java.lang.Throwable&lt;/exception-type&gt; → /WEB-INF/views/error/500.jsp 로 모든 미처리 예외(스택트레이스 등 중요정보 노출 가능 경로)까지 사용자 정의 에러 페이지로 포워딩하도록 처리되어 있어, 에러 발생 시 중요 정보 노출 위험을 차단함
- 에러 페이지 위치가 /WEB-INF/ 하위(외부 직접 접근 불가 영역)에 존재하여 적절히 보호되고 있음
- 4xx/5xx 주요 상태코드 및 전역 예외에 대한 별도 에러 페이지가 모두 지정되어 있으므로 '취약' 사유(미지정·정보노출)에 해당하지 않아 양호로 판정</t>
        </is>
      </c>
      <c r="H27" s="2" t="inlineStr"/>
    </row>
    <row r="28">
      <c r="B28" s="15" t="n"/>
      <c r="C28" s="9" t="inlineStr">
        <is>
          <t>WEB-23</t>
        </is>
      </c>
      <c r="D28" s="2" t="inlineStr">
        <is>
          <t>LDAP 알고리즘 적절하게 구성</t>
        </is>
      </c>
      <c r="E28" s="2" t="inlineStr">
        <is>
          <t>양호 : LDAP 연결 인증 시 안전한 비밀번호 다이제스트 알고리즘을 사용하는 경우
취약 : LDAP 연결 인증 시 안전한 비밀번호 다이제스트 알고리즘을 사용하지 않는 경우</t>
        </is>
      </c>
      <c r="F28" s="16" t="inlineStr">
        <is>
          <t>양호</t>
        </is>
      </c>
      <c r="G28" s="2" t="inlineStr">
        <is>
          <t>- 판단기준의 '양호: LDAP 연결 인증 시 안전한 비밀번호 다이제스트 알고리즘을 사용하는 경우'에 해당한다.
- 점검내용(로우데이터) 라인 `/opt/tomcat9/conf/server.xml: digest="SHA-256"/&gt;` 에서 다이제스트 알고리즘으로 SHA-256 이 설정되어 있음을 확인했다.
- SHA-256 은 MD5·SHA-1 과 같은 취약 알고리즘이 아닌 안전한 비밀번호 다이제스트 알고리즘에 해당하므로 양호로 판정한다.</t>
        </is>
      </c>
      <c r="H28" s="2" t="inlineStr"/>
    </row>
    <row r="29">
      <c r="B29" s="9" t="inlineStr">
        <is>
          <t>패치 및 로그 관리</t>
        </is>
      </c>
      <c r="C29" s="9" t="inlineStr">
        <is>
          <t>WEB-24</t>
        </is>
      </c>
      <c r="D29" s="2" t="inlineStr">
        <is>
          <t>별도의 업로드 경로 사용 및 권한 설정</t>
        </is>
      </c>
      <c r="E29" s="2" t="inlineStr">
        <is>
          <t>양호 : 별도의 업로드 경로를 사용하고 일반 사용자의 접근 권한이 부여되지 않은 경우
취약 : 별도의 업로드 경로를 사용하지 않거나, 일반 사용자의 접근 권한이 부여된 경우</t>
        </is>
      </c>
      <c r="F29" s="16" t="inlineStr">
        <is>
          <t>양호</t>
        </is>
      </c>
      <c r="G29" s="2" t="inlineStr">
        <is>
          <t>- 판단기준의 '별도의 업로드 경로 사용' 조건 ↔ 점검내용의 '업로드경로=/var/bookstore/upload' 라인으로, 웹 루트(/srv/bookstore)와 분리된 별도 경로(/var/bookstore/upload)를 사용하고 있어 충족함
- 판단기준의 '일반 사용자의 접근 권한이 부여되지 않은 경우' 조건 ↔ 점검내용의 '권한=750' 라인으로, other 칸이 0(r/w/x 모두 없음)이어서 일반 사용자(other)에게 어떠한 접근 권한도 부여되지 않음
- 점검내용의 '소유자=tomcat:tomcat' 라인 기준으로 소유자/그룹이 WAS 구동 계정(tomcat)으로 한정되어 있어 일반 사용자 접근이 차단됨
- 별도 경로 사용 및 일반 사용자 접근 권한 미부여 두 조건을 모두 만족하므로 '양호'로 판정함</t>
        </is>
      </c>
      <c r="H29" s="2" t="inlineStr"/>
    </row>
    <row r="30">
      <c r="B30" s="15" t="n"/>
      <c r="C30" s="9" t="inlineStr">
        <is>
          <t>WEB-25</t>
        </is>
      </c>
      <c r="D30" s="2" t="inlineStr">
        <is>
          <t>주기적 보안 패치 및 벤더 권고사항 적용</t>
        </is>
      </c>
      <c r="E30" s="2" t="inlineStr">
        <is>
          <t>양호 : 최신 보안 패치가 적용되어 있으며, 패치 적용 정책을 수립하여 주기적인 패치 관리를 하는 경우
취약 : 최신 보안 패치가 적용되어 있지 않거나 패치 적용 정책을 수립 및 주기적인 패치 관리를 하지 않는 경우</t>
        </is>
      </c>
      <c r="F30" s="16" t="inlineStr">
        <is>
          <t>양호</t>
        </is>
      </c>
      <c r="G30" s="2" t="inlineStr">
        <is>
          <t>- 판단기준의 '최신 보안 패치 적용' 조건 ↔ 점검내용의 '설치 버전=9.0.118'이 '기준 버전=9.0.118'과 정확히 일치하여 최신 버전이 적용된 상태임
- 설치 버전과 기준(권고) 버전이 동일하므로 알려진 취약 버전 대비 패치 누락이 확인되지 않음
- 다만 점검내용에 'EOL 여부는 수동 확인' 단서가 명시되어 있어, 9.0.x 계열의 지원 종료(EOL) 여부 및 패치 적용 정책 수립·주기적 패치 관리 운영 여부는 별도 수동 확인이 필요함(증적 없을 시 보수적 재검토 권고)</t>
        </is>
      </c>
      <c r="H30" s="2" t="inlineStr"/>
    </row>
    <row r="31">
      <c r="B31" s="15" t="n"/>
      <c r="C31" s="9" t="inlineStr">
        <is>
          <t>WEB-26</t>
        </is>
      </c>
      <c r="D31" s="2" t="inlineStr">
        <is>
          <t>로그 디렉터리 및 파일 권한 설정</t>
        </is>
      </c>
      <c r="E31" s="2" t="inlineStr">
        <is>
          <t>양호 : 로그 디렉터리 및 파일에 일반 사용자의 접근 권한이 없는 경우
취약 : 로그 디렉터리 및 파일에 일반 사용자의 접근 권한이 있는 경우</t>
        </is>
      </c>
      <c r="F31" s="16" t="inlineStr">
        <is>
          <t>양호</t>
        </is>
      </c>
      <c r="G31" s="2" t="inlineStr">
        <is>
          <t>- 판단기준은 로그 디렉터리 및 파일에 '일반 사용자(other)의 접근 권한'이 없어야 양호인데, /opt/tomcat9/logs 디렉터리는 drwxr-x--- (750)으로 other 칸이 '---'이라 일반 사용자 접근 권한이 전혀 없음
- 하위 로그 파일 전체(manager/localhost/host-manager/catalina/localhost_access_log 등)가 모두 -rw-r----- (640)으로 other 칸이 '---'이며, 소유자 tomcat, 그룹 tomcat 권한만 부여되어 일반 사용자 읽기/쓰기 초과 권한 없음
- 나열된 11개 항목(디렉터리 1 + 파일 10) 중 640/750 표준 패턴에서 벗어나 other 권한이 부여된 비표준·이상치 항목은 발견되지 않음</t>
        </is>
      </c>
      <c r="H31" s="2" t="inlineStr"/>
    </row>
  </sheetData>
  <mergeCells count="12">
    <mergeCell ref="H3:H5"/>
    <mergeCell ref="B9:B23"/>
    <mergeCell ref="C3:C5"/>
    <mergeCell ref="B24:B28"/>
    <mergeCell ref="G3:G5"/>
    <mergeCell ref="E3:E5"/>
    <mergeCell ref="B29:B31"/>
    <mergeCell ref="B2:H2"/>
    <mergeCell ref="F3:F5"/>
    <mergeCell ref="D3:D5"/>
    <mergeCell ref="B3:B5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2026-06-29T06:03:48Z</dcterms:created>
  <dcterms:modified xsi:type="dcterms:W3CDTF">2026-06-29T06:03:48Z</dcterms:modified>
</cp:coreProperties>
</file>